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i unidad\XRR publication\"/>
    </mc:Choice>
  </mc:AlternateContent>
  <xr:revisionPtr revIDLastSave="0" documentId="13_ncr:1_{32151C45-DB11-47CC-8327-E87966913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ol" sheetId="7" r:id="rId1"/>
  </sheets>
  <definedNames>
    <definedName name="xray2834709" localSheetId="0">Tool!$A$2:$L$503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H216" i="7"/>
  <c r="H217" i="7"/>
  <c r="H218" i="7"/>
  <c r="H309" i="7"/>
  <c r="H310" i="7"/>
  <c r="A19" i="7"/>
  <c r="H44" i="7" s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H94" i="7" s="1"/>
  <c r="E95" i="7"/>
  <c r="E96" i="7"/>
  <c r="H96" i="7" s="1"/>
  <c r="E97" i="7"/>
  <c r="H97" i="7" s="1"/>
  <c r="E98" i="7"/>
  <c r="H98" i="7" s="1"/>
  <c r="E99" i="7"/>
  <c r="H99" i="7" s="1"/>
  <c r="E100" i="7"/>
  <c r="H100" i="7" s="1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H114" i="7" s="1"/>
  <c r="E115" i="7"/>
  <c r="H115" i="7" s="1"/>
  <c r="E116" i="7"/>
  <c r="H116" i="7" s="1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H210" i="7" s="1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H311" i="7" s="1"/>
  <c r="E312" i="7"/>
  <c r="H312" i="7" s="1"/>
  <c r="E313" i="7"/>
  <c r="H313" i="7" s="1"/>
  <c r="E314" i="7"/>
  <c r="H314" i="7" s="1"/>
  <c r="E315" i="7"/>
  <c r="H315" i="7" s="1"/>
  <c r="E316" i="7"/>
  <c r="H316" i="7" s="1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H330" i="7" s="1"/>
  <c r="E331" i="7"/>
  <c r="H331" i="7" s="1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H409" i="7" s="1"/>
  <c r="E410" i="7"/>
  <c r="H410" i="7" s="1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H426" i="7" s="1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N6" i="7"/>
  <c r="H214" i="7" l="1"/>
  <c r="H429" i="7"/>
  <c r="H212" i="7"/>
  <c r="H428" i="7"/>
  <c r="H211" i="7"/>
  <c r="H427" i="7"/>
  <c r="H117" i="7"/>
  <c r="H213" i="7"/>
  <c r="H196" i="7"/>
  <c r="H430" i="7"/>
  <c r="I430" i="7" s="1"/>
  <c r="H194" i="7"/>
  <c r="H215" i="7"/>
  <c r="H412" i="7"/>
  <c r="H411" i="7"/>
  <c r="H431" i="7"/>
  <c r="H118" i="7"/>
  <c r="H408" i="7"/>
  <c r="H308" i="7"/>
  <c r="H195" i="7"/>
  <c r="H95" i="7"/>
  <c r="H480" i="7"/>
  <c r="H380" i="7"/>
  <c r="H267" i="7"/>
  <c r="I267" i="7" s="1"/>
  <c r="H167" i="7"/>
  <c r="I167" i="7" s="1"/>
  <c r="H67" i="7"/>
  <c r="H478" i="7"/>
  <c r="H378" i="7"/>
  <c r="H265" i="7"/>
  <c r="H165" i="7"/>
  <c r="H52" i="7"/>
  <c r="H477" i="7"/>
  <c r="H364" i="7"/>
  <c r="H264" i="7"/>
  <c r="H164" i="7"/>
  <c r="H51" i="7"/>
  <c r="H481" i="7"/>
  <c r="H66" i="7"/>
  <c r="H476" i="7"/>
  <c r="H363" i="7"/>
  <c r="H263" i="7"/>
  <c r="H163" i="7"/>
  <c r="H50" i="7"/>
  <c r="H475" i="7"/>
  <c r="H362" i="7"/>
  <c r="H262" i="7"/>
  <c r="H162" i="7"/>
  <c r="H49" i="7"/>
  <c r="H68" i="7"/>
  <c r="I68" i="7" s="1"/>
  <c r="H474" i="7"/>
  <c r="H361" i="7"/>
  <c r="H261" i="7"/>
  <c r="H148" i="7"/>
  <c r="H48" i="7"/>
  <c r="H479" i="7"/>
  <c r="H460" i="7"/>
  <c r="H360" i="7"/>
  <c r="H260" i="7"/>
  <c r="H147" i="7"/>
  <c r="H47" i="7"/>
  <c r="H407" i="7"/>
  <c r="H168" i="7"/>
  <c r="H166" i="7"/>
  <c r="H459" i="7"/>
  <c r="H359" i="7"/>
  <c r="H259" i="7"/>
  <c r="H146" i="7"/>
  <c r="H46" i="7"/>
  <c r="H381" i="7"/>
  <c r="H379" i="7"/>
  <c r="H458" i="7"/>
  <c r="H358" i="7"/>
  <c r="H258" i="7"/>
  <c r="H145" i="7"/>
  <c r="H45" i="7"/>
  <c r="H307" i="7"/>
  <c r="H268" i="7"/>
  <c r="H266" i="7"/>
  <c r="H457" i="7"/>
  <c r="H357" i="7"/>
  <c r="H244" i="7"/>
  <c r="H144" i="7"/>
  <c r="I144" i="7" s="1"/>
  <c r="H5" i="7"/>
  <c r="H29" i="7"/>
  <c r="H53" i="7"/>
  <c r="H77" i="7"/>
  <c r="H101" i="7"/>
  <c r="H125" i="7"/>
  <c r="H149" i="7"/>
  <c r="H173" i="7"/>
  <c r="H197" i="7"/>
  <c r="H221" i="7"/>
  <c r="H245" i="7"/>
  <c r="H269" i="7"/>
  <c r="H293" i="7"/>
  <c r="H317" i="7"/>
  <c r="H341" i="7"/>
  <c r="H365" i="7"/>
  <c r="H389" i="7"/>
  <c r="H413" i="7"/>
  <c r="H437" i="7"/>
  <c r="H461" i="7"/>
  <c r="H485" i="7"/>
  <c r="H82" i="7"/>
  <c r="H131" i="7"/>
  <c r="H108" i="7"/>
  <c r="H6" i="7"/>
  <c r="H30" i="7"/>
  <c r="H54" i="7"/>
  <c r="H78" i="7"/>
  <c r="H102" i="7"/>
  <c r="H126" i="7"/>
  <c r="H150" i="7"/>
  <c r="H174" i="7"/>
  <c r="H198" i="7"/>
  <c r="H222" i="7"/>
  <c r="H246" i="7"/>
  <c r="H270" i="7"/>
  <c r="H294" i="7"/>
  <c r="H318" i="7"/>
  <c r="H342" i="7"/>
  <c r="H366" i="7"/>
  <c r="H390" i="7"/>
  <c r="H414" i="7"/>
  <c r="H438" i="7"/>
  <c r="H462" i="7"/>
  <c r="H486" i="7"/>
  <c r="H106" i="7"/>
  <c r="H84" i="7"/>
  <c r="H7" i="7"/>
  <c r="H31" i="7"/>
  <c r="H55" i="7"/>
  <c r="H79" i="7"/>
  <c r="H103" i="7"/>
  <c r="H127" i="7"/>
  <c r="H151" i="7"/>
  <c r="H175" i="7"/>
  <c r="H199" i="7"/>
  <c r="H223" i="7"/>
  <c r="H247" i="7"/>
  <c r="H271" i="7"/>
  <c r="H295" i="7"/>
  <c r="H319" i="7"/>
  <c r="H343" i="7"/>
  <c r="H367" i="7"/>
  <c r="H391" i="7"/>
  <c r="H415" i="7"/>
  <c r="H439" i="7"/>
  <c r="H463" i="7"/>
  <c r="H487" i="7"/>
  <c r="H34" i="7"/>
  <c r="H130" i="7"/>
  <c r="H178" i="7"/>
  <c r="H202" i="7"/>
  <c r="H226" i="7"/>
  <c r="H274" i="7"/>
  <c r="H298" i="7"/>
  <c r="H346" i="7"/>
  <c r="H370" i="7"/>
  <c r="H418" i="7"/>
  <c r="H442" i="7"/>
  <c r="H490" i="7"/>
  <c r="H11" i="7"/>
  <c r="H83" i="7"/>
  <c r="H179" i="7"/>
  <c r="H251" i="7"/>
  <c r="H299" i="7"/>
  <c r="H347" i="7"/>
  <c r="H395" i="7"/>
  <c r="H419" i="7"/>
  <c r="H467" i="7"/>
  <c r="H36" i="7"/>
  <c r="H156" i="7"/>
  <c r="H204" i="7"/>
  <c r="H252" i="7"/>
  <c r="H324" i="7"/>
  <c r="H372" i="7"/>
  <c r="H420" i="7"/>
  <c r="H468" i="7"/>
  <c r="H8" i="7"/>
  <c r="H32" i="7"/>
  <c r="H56" i="7"/>
  <c r="H80" i="7"/>
  <c r="H104" i="7"/>
  <c r="H128" i="7"/>
  <c r="H152" i="7"/>
  <c r="H176" i="7"/>
  <c r="H200" i="7"/>
  <c r="H224" i="7"/>
  <c r="H248" i="7"/>
  <c r="H272" i="7"/>
  <c r="H296" i="7"/>
  <c r="H320" i="7"/>
  <c r="H344" i="7"/>
  <c r="H368" i="7"/>
  <c r="H392" i="7"/>
  <c r="H416" i="7"/>
  <c r="H440" i="7"/>
  <c r="H464" i="7"/>
  <c r="H488" i="7"/>
  <c r="H10" i="7"/>
  <c r="H154" i="7"/>
  <c r="H250" i="7"/>
  <c r="H322" i="7"/>
  <c r="H394" i="7"/>
  <c r="H466" i="7"/>
  <c r="H35" i="7"/>
  <c r="H107" i="7"/>
  <c r="H155" i="7"/>
  <c r="H203" i="7"/>
  <c r="H227" i="7"/>
  <c r="H275" i="7"/>
  <c r="H323" i="7"/>
  <c r="H371" i="7"/>
  <c r="H443" i="7"/>
  <c r="H491" i="7"/>
  <c r="H12" i="7"/>
  <c r="H132" i="7"/>
  <c r="H180" i="7"/>
  <c r="H228" i="7"/>
  <c r="H276" i="7"/>
  <c r="H300" i="7"/>
  <c r="H348" i="7"/>
  <c r="H396" i="7"/>
  <c r="H444" i="7"/>
  <c r="H492" i="7"/>
  <c r="H9" i="7"/>
  <c r="H33" i="7"/>
  <c r="H57" i="7"/>
  <c r="H81" i="7"/>
  <c r="H105" i="7"/>
  <c r="H129" i="7"/>
  <c r="H153" i="7"/>
  <c r="H177" i="7"/>
  <c r="H201" i="7"/>
  <c r="H225" i="7"/>
  <c r="H249" i="7"/>
  <c r="H273" i="7"/>
  <c r="H297" i="7"/>
  <c r="H321" i="7"/>
  <c r="H345" i="7"/>
  <c r="H369" i="7"/>
  <c r="H393" i="7"/>
  <c r="H417" i="7"/>
  <c r="H441" i="7"/>
  <c r="H465" i="7"/>
  <c r="H489" i="7"/>
  <c r="H58" i="7"/>
  <c r="H59" i="7"/>
  <c r="H60" i="7"/>
  <c r="H13" i="7"/>
  <c r="H37" i="7"/>
  <c r="H61" i="7"/>
  <c r="H85" i="7"/>
  <c r="H109" i="7"/>
  <c r="H133" i="7"/>
  <c r="H157" i="7"/>
  <c r="H181" i="7"/>
  <c r="H205" i="7"/>
  <c r="H229" i="7"/>
  <c r="H253" i="7"/>
  <c r="H277" i="7"/>
  <c r="H301" i="7"/>
  <c r="H325" i="7"/>
  <c r="H349" i="7"/>
  <c r="H373" i="7"/>
  <c r="H397" i="7"/>
  <c r="H421" i="7"/>
  <c r="H445" i="7"/>
  <c r="H469" i="7"/>
  <c r="H493" i="7"/>
  <c r="H14" i="7"/>
  <c r="H38" i="7"/>
  <c r="H62" i="7"/>
  <c r="H86" i="7"/>
  <c r="H110" i="7"/>
  <c r="H134" i="7"/>
  <c r="H158" i="7"/>
  <c r="H182" i="7"/>
  <c r="H206" i="7"/>
  <c r="H230" i="7"/>
  <c r="H254" i="7"/>
  <c r="H278" i="7"/>
  <c r="H302" i="7"/>
  <c r="H326" i="7"/>
  <c r="H350" i="7"/>
  <c r="H374" i="7"/>
  <c r="H398" i="7"/>
  <c r="H422" i="7"/>
  <c r="H446" i="7"/>
  <c r="H470" i="7"/>
  <c r="H494" i="7"/>
  <c r="H15" i="7"/>
  <c r="H39" i="7"/>
  <c r="H63" i="7"/>
  <c r="H87" i="7"/>
  <c r="H111" i="7"/>
  <c r="H135" i="7"/>
  <c r="H159" i="7"/>
  <c r="H183" i="7"/>
  <c r="H207" i="7"/>
  <c r="H231" i="7"/>
  <c r="H255" i="7"/>
  <c r="H279" i="7"/>
  <c r="H303" i="7"/>
  <c r="H327" i="7"/>
  <c r="H351" i="7"/>
  <c r="H375" i="7"/>
  <c r="H399" i="7"/>
  <c r="H423" i="7"/>
  <c r="H447" i="7"/>
  <c r="H471" i="7"/>
  <c r="H495" i="7"/>
  <c r="H16" i="7"/>
  <c r="H40" i="7"/>
  <c r="H64" i="7"/>
  <c r="H88" i="7"/>
  <c r="H112" i="7"/>
  <c r="H136" i="7"/>
  <c r="H160" i="7"/>
  <c r="H184" i="7"/>
  <c r="H208" i="7"/>
  <c r="H232" i="7"/>
  <c r="H256" i="7"/>
  <c r="H280" i="7"/>
  <c r="H304" i="7"/>
  <c r="H328" i="7"/>
  <c r="H352" i="7"/>
  <c r="H376" i="7"/>
  <c r="H400" i="7"/>
  <c r="H424" i="7"/>
  <c r="H448" i="7"/>
  <c r="H472" i="7"/>
  <c r="H496" i="7"/>
  <c r="H17" i="7"/>
  <c r="H41" i="7"/>
  <c r="H65" i="7"/>
  <c r="H89" i="7"/>
  <c r="H113" i="7"/>
  <c r="H137" i="7"/>
  <c r="H161" i="7"/>
  <c r="H185" i="7"/>
  <c r="H209" i="7"/>
  <c r="H233" i="7"/>
  <c r="H257" i="7"/>
  <c r="H281" i="7"/>
  <c r="H305" i="7"/>
  <c r="H329" i="7"/>
  <c r="H353" i="7"/>
  <c r="H377" i="7"/>
  <c r="H401" i="7"/>
  <c r="H425" i="7"/>
  <c r="H449" i="7"/>
  <c r="H473" i="7"/>
  <c r="H497" i="7"/>
  <c r="H18" i="7"/>
  <c r="H503" i="7"/>
  <c r="H453" i="7"/>
  <c r="H403" i="7"/>
  <c r="H340" i="7"/>
  <c r="H290" i="7"/>
  <c r="H240" i="7"/>
  <c r="H190" i="7"/>
  <c r="H140" i="7"/>
  <c r="H90" i="7"/>
  <c r="H27" i="7"/>
  <c r="H43" i="7"/>
  <c r="I43" i="7" s="1"/>
  <c r="H405" i="7"/>
  <c r="I405" i="7" s="1"/>
  <c r="H292" i="7"/>
  <c r="I292" i="7" s="1"/>
  <c r="H192" i="7"/>
  <c r="H404" i="7"/>
  <c r="H91" i="7"/>
  <c r="H402" i="7"/>
  <c r="H76" i="7"/>
  <c r="H25" i="7"/>
  <c r="H450" i="7"/>
  <c r="H287" i="7"/>
  <c r="H187" i="7"/>
  <c r="H499" i="7"/>
  <c r="H436" i="7"/>
  <c r="H386" i="7"/>
  <c r="H336" i="7"/>
  <c r="H286" i="7"/>
  <c r="H236" i="7"/>
  <c r="H186" i="7"/>
  <c r="H123" i="7"/>
  <c r="H73" i="7"/>
  <c r="H23" i="7"/>
  <c r="H406" i="7"/>
  <c r="H143" i="7"/>
  <c r="H355" i="7"/>
  <c r="H142" i="7"/>
  <c r="H454" i="7"/>
  <c r="H28" i="7"/>
  <c r="H452" i="7"/>
  <c r="H339" i="7"/>
  <c r="H189" i="7"/>
  <c r="H338" i="7"/>
  <c r="H75" i="7"/>
  <c r="H500" i="7"/>
  <c r="H24" i="7"/>
  <c r="H498" i="7"/>
  <c r="H435" i="7"/>
  <c r="H385" i="7"/>
  <c r="H335" i="7"/>
  <c r="H285" i="7"/>
  <c r="H235" i="7"/>
  <c r="H172" i="7"/>
  <c r="H122" i="7"/>
  <c r="H72" i="7"/>
  <c r="H22" i="7"/>
  <c r="H243" i="7"/>
  <c r="H242" i="7"/>
  <c r="H241" i="7"/>
  <c r="H239" i="7"/>
  <c r="H237" i="7"/>
  <c r="H484" i="7"/>
  <c r="H434" i="7"/>
  <c r="H384" i="7"/>
  <c r="H334" i="7"/>
  <c r="H284" i="7"/>
  <c r="H234" i="7"/>
  <c r="H171" i="7"/>
  <c r="H121" i="7"/>
  <c r="H71" i="7"/>
  <c r="H21" i="7"/>
  <c r="H356" i="7"/>
  <c r="H93" i="7"/>
  <c r="H42" i="7"/>
  <c r="H291" i="7"/>
  <c r="H191" i="7"/>
  <c r="H26" i="7"/>
  <c r="H451" i="7"/>
  <c r="H388" i="7"/>
  <c r="H238" i="7"/>
  <c r="H188" i="7"/>
  <c r="H337" i="7"/>
  <c r="H124" i="7"/>
  <c r="H483" i="7"/>
  <c r="H433" i="7"/>
  <c r="H383" i="7"/>
  <c r="H333" i="7"/>
  <c r="H283" i="7"/>
  <c r="H220" i="7"/>
  <c r="H120" i="7"/>
  <c r="H70" i="7"/>
  <c r="H20" i="7"/>
  <c r="H456" i="7"/>
  <c r="H306" i="7"/>
  <c r="H193" i="7"/>
  <c r="H455" i="7"/>
  <c r="H92" i="7"/>
  <c r="H354" i="7"/>
  <c r="H141" i="7"/>
  <c r="H502" i="7"/>
  <c r="H289" i="7"/>
  <c r="H139" i="7"/>
  <c r="H501" i="7"/>
  <c r="H288" i="7"/>
  <c r="H138" i="7"/>
  <c r="H387" i="7"/>
  <c r="H74" i="7"/>
  <c r="H170" i="7"/>
  <c r="H482" i="7"/>
  <c r="H432" i="7"/>
  <c r="H382" i="7"/>
  <c r="H332" i="7"/>
  <c r="H282" i="7"/>
  <c r="H219" i="7"/>
  <c r="H169" i="7"/>
  <c r="H119" i="7"/>
  <c r="H69" i="7"/>
  <c r="H19" i="7"/>
  <c r="A15" i="7"/>
  <c r="N7" i="7"/>
  <c r="N5" i="7"/>
  <c r="A13" i="7"/>
  <c r="A17" i="7"/>
  <c r="I357" i="7" l="1"/>
  <c r="I90" i="7"/>
  <c r="I64" i="7"/>
  <c r="I421" i="7"/>
  <c r="I228" i="7"/>
  <c r="I36" i="7"/>
  <c r="I145" i="7"/>
  <c r="I161" i="7"/>
  <c r="I137" i="7"/>
  <c r="I330" i="7"/>
  <c r="I156" i="7"/>
  <c r="I481" i="7"/>
  <c r="I445" i="7"/>
  <c r="I88" i="7"/>
  <c r="I67" i="7"/>
  <c r="I140" i="7"/>
  <c r="I276" i="7"/>
  <c r="I190" i="7"/>
  <c r="I240" i="7"/>
  <c r="I373" i="7"/>
  <c r="I349" i="7"/>
  <c r="I395" i="7"/>
  <c r="I325" i="7"/>
  <c r="I193" i="7"/>
  <c r="I306" i="7"/>
  <c r="I69" i="7"/>
  <c r="I42" i="7"/>
  <c r="I116" i="7"/>
  <c r="I429" i="7"/>
  <c r="I258" i="7"/>
  <c r="I44" i="7"/>
  <c r="I407" i="7"/>
  <c r="I180" i="7"/>
  <c r="I419" i="7"/>
  <c r="I194" i="7"/>
  <c r="I141" i="7"/>
  <c r="I40" i="7"/>
  <c r="I467" i="7"/>
  <c r="I132" i="7"/>
  <c r="I92" i="7"/>
  <c r="I290" i="7"/>
  <c r="I455" i="7"/>
  <c r="I41" i="7"/>
  <c r="I491" i="7"/>
  <c r="I478" i="7"/>
  <c r="I93" i="7"/>
  <c r="I356" i="7"/>
  <c r="I117" i="7"/>
  <c r="I360" i="7"/>
  <c r="I143" i="7"/>
  <c r="I118" i="7"/>
  <c r="I406" i="7"/>
  <c r="I266" i="7"/>
  <c r="I166" i="7"/>
  <c r="I10" i="7"/>
  <c r="I34" i="7"/>
  <c r="I125" i="7"/>
  <c r="I200" i="7"/>
  <c r="I279" i="7"/>
  <c r="I367" i="7"/>
  <c r="I446" i="7"/>
  <c r="I11" i="7"/>
  <c r="I38" i="7"/>
  <c r="I126" i="7"/>
  <c r="I201" i="7"/>
  <c r="I293" i="7"/>
  <c r="I368" i="7"/>
  <c r="I447" i="7"/>
  <c r="I465" i="7"/>
  <c r="I12" i="7"/>
  <c r="I39" i="7"/>
  <c r="I127" i="7"/>
  <c r="I206" i="7"/>
  <c r="I294" i="7"/>
  <c r="I369" i="7"/>
  <c r="I461" i="7"/>
  <c r="I55" i="7"/>
  <c r="I297" i="7"/>
  <c r="I464" i="7"/>
  <c r="I16" i="7"/>
  <c r="I135" i="7"/>
  <c r="I223" i="7"/>
  <c r="I390" i="7"/>
  <c r="I17" i="7"/>
  <c r="I149" i="7"/>
  <c r="I303" i="7"/>
  <c r="I13" i="7"/>
  <c r="I53" i="7"/>
  <c r="I128" i="7"/>
  <c r="I207" i="7"/>
  <c r="I295" i="7"/>
  <c r="I374" i="7"/>
  <c r="I462" i="7"/>
  <c r="I15" i="7"/>
  <c r="I134" i="7"/>
  <c r="I222" i="7"/>
  <c r="I389" i="7"/>
  <c r="I56" i="7"/>
  <c r="I302" i="7"/>
  <c r="I57" i="7"/>
  <c r="I224" i="7"/>
  <c r="I391" i="7"/>
  <c r="I470" i="7"/>
  <c r="I14" i="7"/>
  <c r="I54" i="7"/>
  <c r="I129" i="7"/>
  <c r="I221" i="7"/>
  <c r="I296" i="7"/>
  <c r="I375" i="7"/>
  <c r="I463" i="7"/>
  <c r="I18" i="7"/>
  <c r="I62" i="7"/>
  <c r="I150" i="7"/>
  <c r="I225" i="7"/>
  <c r="I317" i="7"/>
  <c r="I392" i="7"/>
  <c r="I471" i="7"/>
  <c r="I19" i="7"/>
  <c r="I63" i="7"/>
  <c r="I151" i="7"/>
  <c r="I230" i="7"/>
  <c r="I318" i="7"/>
  <c r="I393" i="7"/>
  <c r="I485" i="7"/>
  <c r="I20" i="7"/>
  <c r="I77" i="7"/>
  <c r="I152" i="7"/>
  <c r="I231" i="7"/>
  <c r="I319" i="7"/>
  <c r="I398" i="7"/>
  <c r="I486" i="7"/>
  <c r="I21" i="7"/>
  <c r="I78" i="7"/>
  <c r="I153" i="7"/>
  <c r="I245" i="7"/>
  <c r="I320" i="7"/>
  <c r="I399" i="7"/>
  <c r="I487" i="7"/>
  <c r="I22" i="7"/>
  <c r="I79" i="7"/>
  <c r="I158" i="7"/>
  <c r="I246" i="7"/>
  <c r="I321" i="7"/>
  <c r="I413" i="7"/>
  <c r="I488" i="7"/>
  <c r="I33" i="7"/>
  <c r="I248" i="7"/>
  <c r="I417" i="7"/>
  <c r="I249" i="7"/>
  <c r="I81" i="7"/>
  <c r="I439" i="7"/>
  <c r="I105" i="7"/>
  <c r="I7" i="7"/>
  <c r="I327" i="7"/>
  <c r="I24" i="7"/>
  <c r="I345" i="7"/>
  <c r="I350" i="7"/>
  <c r="I183" i="7"/>
  <c r="I31" i="7"/>
  <c r="I416" i="7"/>
  <c r="I80" i="7"/>
  <c r="I422" i="7"/>
  <c r="I101" i="7"/>
  <c r="I102" i="7"/>
  <c r="I272" i="7"/>
  <c r="I5" i="7"/>
  <c r="I494" i="7"/>
  <c r="I6" i="7"/>
  <c r="I9" i="7"/>
  <c r="I342" i="7"/>
  <c r="I23" i="7"/>
  <c r="I175" i="7"/>
  <c r="I177" i="7"/>
  <c r="I28" i="7"/>
  <c r="I366" i="7"/>
  <c r="I198" i="7"/>
  <c r="I415" i="7"/>
  <c r="I32" i="7"/>
  <c r="I254" i="7"/>
  <c r="I423" i="7"/>
  <c r="I174" i="7"/>
  <c r="I25" i="7"/>
  <c r="I27" i="7"/>
  <c r="I86" i="7"/>
  <c r="I255" i="7"/>
  <c r="I437" i="7"/>
  <c r="I440" i="7"/>
  <c r="I103" i="7"/>
  <c r="I441" i="7"/>
  <c r="I495" i="7"/>
  <c r="I159" i="7"/>
  <c r="I176" i="7"/>
  <c r="I365" i="7"/>
  <c r="I29" i="7"/>
  <c r="I197" i="7"/>
  <c r="I199" i="7"/>
  <c r="I87" i="7"/>
  <c r="I269" i="7"/>
  <c r="I438" i="7"/>
  <c r="I270" i="7"/>
  <c r="I271" i="7"/>
  <c r="I278" i="7"/>
  <c r="I110" i="7"/>
  <c r="I326" i="7"/>
  <c r="I111" i="7"/>
  <c r="I8" i="7"/>
  <c r="I341" i="7"/>
  <c r="I173" i="7"/>
  <c r="I344" i="7"/>
  <c r="I26" i="7"/>
  <c r="I351" i="7"/>
  <c r="I30" i="7"/>
  <c r="I414" i="7"/>
  <c r="I247" i="7"/>
  <c r="I104" i="7"/>
  <c r="I273" i="7"/>
  <c r="I489" i="7"/>
  <c r="I343" i="7"/>
  <c r="I182" i="7"/>
  <c r="I268" i="7"/>
  <c r="I66" i="7"/>
  <c r="I307" i="7"/>
  <c r="I314" i="7"/>
  <c r="I165" i="7"/>
  <c r="I315" i="7"/>
  <c r="I51" i="7"/>
  <c r="I427" i="7"/>
  <c r="I364" i="7"/>
  <c r="I114" i="7"/>
  <c r="I213" i="7"/>
  <c r="I100" i="7"/>
  <c r="I412" i="7"/>
  <c r="I362" i="7"/>
  <c r="I215" i="7"/>
  <c r="I260" i="7"/>
  <c r="I460" i="7"/>
  <c r="I47" i="7"/>
  <c r="I358" i="7"/>
  <c r="I316" i="7"/>
  <c r="I168" i="7"/>
  <c r="I216" i="7"/>
  <c r="I162" i="7"/>
  <c r="I98" i="7"/>
  <c r="I409" i="7"/>
  <c r="I244" i="7"/>
  <c r="I480" i="7"/>
  <c r="I115" i="7"/>
  <c r="I476" i="7"/>
  <c r="I214" i="7"/>
  <c r="I331" i="7"/>
  <c r="I217" i="7"/>
  <c r="I263" i="7"/>
  <c r="I426" i="7"/>
  <c r="I265" i="7"/>
  <c r="I428" i="7"/>
  <c r="I363" i="7"/>
  <c r="I50" i="7"/>
  <c r="I312" i="7"/>
  <c r="I313" i="7"/>
  <c r="I361" i="7"/>
  <c r="I147" i="7"/>
  <c r="I211" i="7"/>
  <c r="I411" i="7"/>
  <c r="I210" i="7"/>
  <c r="I97" i="7"/>
  <c r="I458" i="7"/>
  <c r="I95" i="7"/>
  <c r="I96" i="7"/>
  <c r="I457" i="7"/>
  <c r="I259" i="7"/>
  <c r="I94" i="7"/>
  <c r="I45" i="7"/>
  <c r="I431" i="7"/>
  <c r="I477" i="7"/>
  <c r="I475" i="7"/>
  <c r="I212" i="7"/>
  <c r="I311" i="7"/>
  <c r="I99" i="7"/>
  <c r="I474" i="7"/>
  <c r="I148" i="7"/>
  <c r="I163" i="7"/>
  <c r="I49" i="7"/>
  <c r="I410" i="7"/>
  <c r="I46" i="7"/>
  <c r="I48" i="7"/>
  <c r="I309" i="7"/>
  <c r="I359" i="7"/>
  <c r="I146" i="7"/>
  <c r="I381" i="7"/>
  <c r="I308" i="7"/>
  <c r="I195" i="7"/>
  <c r="I164" i="7"/>
  <c r="I261" i="7"/>
  <c r="I310" i="7"/>
  <c r="I459" i="7"/>
  <c r="I408" i="7"/>
  <c r="I196" i="7"/>
  <c r="I218" i="7"/>
  <c r="I113" i="7"/>
  <c r="I397" i="7"/>
  <c r="I354" i="7"/>
  <c r="I89" i="7"/>
  <c r="I65" i="7"/>
  <c r="I340" i="7"/>
  <c r="I291" i="7"/>
  <c r="I142" i="7"/>
  <c r="I355" i="7"/>
  <c r="I380" i="7"/>
  <c r="I262" i="7"/>
  <c r="I52" i="7"/>
  <c r="I264" i="7"/>
  <c r="I378" i="7"/>
  <c r="I379" i="7"/>
  <c r="I479" i="7"/>
  <c r="I192" i="7"/>
  <c r="I133" i="7"/>
  <c r="I299" i="7"/>
  <c r="I119" i="7"/>
  <c r="I169" i="7"/>
  <c r="I172" i="7"/>
  <c r="I179" i="7"/>
  <c r="I71" i="7"/>
  <c r="I83" i="7"/>
  <c r="I220" i="7"/>
  <c r="I236" i="7"/>
  <c r="I227" i="7"/>
  <c r="I171" i="7"/>
  <c r="I449" i="7"/>
  <c r="I432" i="7"/>
  <c r="I284" i="7"/>
  <c r="I418" i="7"/>
  <c r="I334" i="7"/>
  <c r="I328" i="7"/>
  <c r="I499" i="7"/>
  <c r="I377" i="7"/>
  <c r="I85" i="7"/>
  <c r="I466" i="7"/>
  <c r="I346" i="7"/>
  <c r="I73" i="7"/>
  <c r="I251" i="7"/>
  <c r="I70" i="7"/>
  <c r="I123" i="7"/>
  <c r="I253" i="7"/>
  <c r="I219" i="7"/>
  <c r="I181" i="7"/>
  <c r="I234" i="7"/>
  <c r="I383" i="7"/>
  <c r="I107" i="7"/>
  <c r="I436" i="7"/>
  <c r="I109" i="7"/>
  <c r="I384" i="7"/>
  <c r="I304" i="7"/>
  <c r="I74" i="7"/>
  <c r="I124" i="7"/>
  <c r="I434" i="7"/>
  <c r="I500" i="7"/>
  <c r="I187" i="7"/>
  <c r="I353" i="7"/>
  <c r="I280" i="7"/>
  <c r="I61" i="7"/>
  <c r="I394" i="7"/>
  <c r="I298" i="7"/>
  <c r="I277" i="7"/>
  <c r="I121" i="7"/>
  <c r="I400" i="7"/>
  <c r="I336" i="7"/>
  <c r="I75" i="7"/>
  <c r="I274" i="7"/>
  <c r="I347" i="7"/>
  <c r="I503" i="7"/>
  <c r="I186" i="7"/>
  <c r="I229" i="7"/>
  <c r="I424" i="7"/>
  <c r="I286" i="7"/>
  <c r="I333" i="7"/>
  <c r="I435" i="7"/>
  <c r="I386" i="7"/>
  <c r="I482" i="7"/>
  <c r="I433" i="7"/>
  <c r="I35" i="7"/>
  <c r="I483" i="7"/>
  <c r="I387" i="7"/>
  <c r="I329" i="7"/>
  <c r="I138" i="7"/>
  <c r="I188" i="7"/>
  <c r="I237" i="7"/>
  <c r="I305" i="7"/>
  <c r="I468" i="7"/>
  <c r="I226" i="7"/>
  <c r="I238" i="7"/>
  <c r="I239" i="7"/>
  <c r="I208" i="7"/>
  <c r="I492" i="7"/>
  <c r="I420" i="7"/>
  <c r="I339" i="7"/>
  <c r="I184" i="7"/>
  <c r="I444" i="7"/>
  <c r="I372" i="7"/>
  <c r="I139" i="7"/>
  <c r="I451" i="7"/>
  <c r="I242" i="7"/>
  <c r="I452" i="7"/>
  <c r="I402" i="7"/>
  <c r="I233" i="7"/>
  <c r="I160" i="7"/>
  <c r="I58" i="7"/>
  <c r="I396" i="7"/>
  <c r="I324" i="7"/>
  <c r="I130" i="7"/>
  <c r="I106" i="7"/>
  <c r="I82" i="7"/>
  <c r="I443" i="7"/>
  <c r="I496" i="7"/>
  <c r="I323" i="7"/>
  <c r="I120" i="7"/>
  <c r="I332" i="7"/>
  <c r="I425" i="7"/>
  <c r="I370" i="7"/>
  <c r="I338" i="7"/>
  <c r="I288" i="7"/>
  <c r="I76" i="7"/>
  <c r="I84" i="7"/>
  <c r="I243" i="7"/>
  <c r="I348" i="7"/>
  <c r="I252" i="7"/>
  <c r="I456" i="7"/>
  <c r="I72" i="7"/>
  <c r="I403" i="7"/>
  <c r="I301" i="7"/>
  <c r="I122" i="7"/>
  <c r="I453" i="7"/>
  <c r="I371" i="7"/>
  <c r="I472" i="7"/>
  <c r="I235" i="7"/>
  <c r="I448" i="7"/>
  <c r="I275" i="7"/>
  <c r="I282" i="7"/>
  <c r="I285" i="7"/>
  <c r="I497" i="7"/>
  <c r="I205" i="7"/>
  <c r="I283" i="7"/>
  <c r="I335" i="7"/>
  <c r="I473" i="7"/>
  <c r="I203" i="7"/>
  <c r="I490" i="7"/>
  <c r="I382" i="7"/>
  <c r="I385" i="7"/>
  <c r="I376" i="7"/>
  <c r="I157" i="7"/>
  <c r="I155" i="7"/>
  <c r="I442" i="7"/>
  <c r="I352" i="7"/>
  <c r="I498" i="7"/>
  <c r="I401" i="7"/>
  <c r="I170" i="7"/>
  <c r="I337" i="7"/>
  <c r="I484" i="7"/>
  <c r="I287" i="7"/>
  <c r="I256" i="7"/>
  <c r="I37" i="7"/>
  <c r="I322" i="7"/>
  <c r="I450" i="7"/>
  <c r="I232" i="7"/>
  <c r="I250" i="7"/>
  <c r="I189" i="7"/>
  <c r="I281" i="7"/>
  <c r="I60" i="7"/>
  <c r="I154" i="7"/>
  <c r="I202" i="7"/>
  <c r="I108" i="7"/>
  <c r="I501" i="7"/>
  <c r="I388" i="7"/>
  <c r="I241" i="7"/>
  <c r="I257" i="7"/>
  <c r="I59" i="7"/>
  <c r="I178" i="7"/>
  <c r="I131" i="7"/>
  <c r="I289" i="7"/>
  <c r="I91" i="7"/>
  <c r="I209" i="7"/>
  <c r="I136" i="7"/>
  <c r="I493" i="7"/>
  <c r="I502" i="7"/>
  <c r="I191" i="7"/>
  <c r="I454" i="7"/>
  <c r="I404" i="7"/>
  <c r="I185" i="7"/>
  <c r="I112" i="7"/>
  <c r="I469" i="7"/>
  <c r="I300" i="7"/>
  <c r="I20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3000000}" name="xray283470912" type="6" refreshedVersion="5" background="1" saveData="1">
    <textPr codePage="850" sourceFile="C:\Users\Arturo\Desktop\xray2828_719.txt" thousands=" " space="1" consecutive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<sst xmlns="http://schemas.openxmlformats.org/spreadsheetml/2006/main" count="24" uniqueCount="24">
  <si>
    <t>Cr</t>
  </si>
  <si>
    <t>300.nm</t>
  </si>
  <si>
    <t>8040.eV,</t>
  </si>
  <si>
    <t>P=0.</t>
  </si>
  <si>
    <t>Angle</t>
  </si>
  <si>
    <t>Reflectivity,</t>
  </si>
  <si>
    <t>seno theta</t>
  </si>
  <si>
    <t>L (mm) =</t>
  </si>
  <si>
    <t>a (mm)</t>
  </si>
  <si>
    <t>delta (mm) =</t>
  </si>
  <si>
    <t>a/(L+2delta)</t>
  </si>
  <si>
    <t>a/(L-2delta)</t>
  </si>
  <si>
    <t>a/L =</t>
  </si>
  <si>
    <t>Theta 1</t>
  </si>
  <si>
    <t>Theta 2</t>
  </si>
  <si>
    <t>R2 rec altas</t>
  </si>
  <si>
    <t>R descent</t>
  </si>
  <si>
    <t>I zona2</t>
  </si>
  <si>
    <t>Cr 7,19 inf</t>
  </si>
  <si>
    <t>delta/a =</t>
  </si>
  <si>
    <t>Densidad</t>
  </si>
  <si>
    <t>Parámetros</t>
  </si>
  <si>
    <t>Relaciones</t>
  </si>
  <si>
    <t>I zona1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</si>
</sst>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11" fontId="0" fillId="0" borderId="0" xfId="0" applyNumberFormat="1"/>
    <xf numFmtId="0" fontId="3" fillId="0" borderId="1" xfId="0" applyFont="1" applyBorder="1"/>
    <xf numFmtId="0" fontId="0" fillId="0" borderId="1" xfId="0" applyBorder="1"/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XRR Efecto tamaño finito.xls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559492563429572"/>
          <c:y val="0.11138138138138139"/>
          <c:w val="0.84139221179083379"/>
          <c:h val="0.78291811496535912"/>
        </c:manualLayout>
      </c:layout>
      <c:scatterChart>
        <c:scatterStyle val="lineMarker"/>
        <c:varyColors val="0"/>
        <c:ser>
          <c:idx val="2"/>
          <c:order val="0"/>
          <c:tx>
            <c:strRef>
              <c:f>Tool!$C$4</c:f>
              <c:strCache>
                <c:ptCount val="1"/>
                <c:pt idx="0">
                  <c:v>Cr 7,19 inf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Tool!$B$5:$B$503</c:f>
              <c:numCache>
                <c:formatCode>0.00E+00</c:formatCode>
                <c:ptCount val="499"/>
                <c:pt idx="0">
                  <c:v>6.0120240000000004E-3</c:v>
                </c:pt>
                <c:pt idx="1">
                  <c:v>1.202405E-2</c:v>
                </c:pt>
                <c:pt idx="2">
                  <c:v>1.8036070000000001E-2</c:v>
                </c:pt>
                <c:pt idx="3">
                  <c:v>2.4048099999999999E-2</c:v>
                </c:pt>
                <c:pt idx="4">
                  <c:v>3.0060119999999999E-2</c:v>
                </c:pt>
                <c:pt idx="5">
                  <c:v>3.6072140000000003E-2</c:v>
                </c:pt>
                <c:pt idx="6">
                  <c:v>4.2084169999999997E-2</c:v>
                </c:pt>
                <c:pt idx="7">
                  <c:v>4.8096189999999997E-2</c:v>
                </c:pt>
                <c:pt idx="8">
                  <c:v>5.4108209999999997E-2</c:v>
                </c:pt>
                <c:pt idx="9">
                  <c:v>6.0120239999999998E-2</c:v>
                </c:pt>
                <c:pt idx="10">
                  <c:v>6.6132259999999998E-2</c:v>
                </c:pt>
                <c:pt idx="11">
                  <c:v>7.2144280000000005E-2</c:v>
                </c:pt>
                <c:pt idx="12">
                  <c:v>7.8156310000000007E-2</c:v>
                </c:pt>
                <c:pt idx="13">
                  <c:v>8.4168339999999994E-2</c:v>
                </c:pt>
                <c:pt idx="14">
                  <c:v>9.0180360000000001E-2</c:v>
                </c:pt>
                <c:pt idx="15">
                  <c:v>9.6192379999999994E-2</c:v>
                </c:pt>
                <c:pt idx="16" formatCode="General">
                  <c:v>0.102204</c:v>
                </c:pt>
                <c:pt idx="17" formatCode="General">
                  <c:v>0.10821600000000001</c:v>
                </c:pt>
                <c:pt idx="18" formatCode="General">
                  <c:v>0.114228</c:v>
                </c:pt>
                <c:pt idx="19" formatCode="General">
                  <c:v>0.12024</c:v>
                </c:pt>
                <c:pt idx="20" formatCode="General">
                  <c:v>0.126253</c:v>
                </c:pt>
                <c:pt idx="21" formatCode="General">
                  <c:v>0.13226499999999999</c:v>
                </c:pt>
                <c:pt idx="22" formatCode="General">
                  <c:v>0.13827700000000001</c:v>
                </c:pt>
                <c:pt idx="23" formatCode="General">
                  <c:v>0.144289</c:v>
                </c:pt>
                <c:pt idx="24" formatCode="General">
                  <c:v>0.15030099999999999</c:v>
                </c:pt>
                <c:pt idx="25" formatCode="General">
                  <c:v>0.15631300000000001</c:v>
                </c:pt>
                <c:pt idx="26" formatCode="General">
                  <c:v>0.162325</c:v>
                </c:pt>
                <c:pt idx="27" formatCode="General">
                  <c:v>0.16833699999999999</c:v>
                </c:pt>
                <c:pt idx="28" formatCode="General">
                  <c:v>0.174349</c:v>
                </c:pt>
                <c:pt idx="29" formatCode="General">
                  <c:v>0.18036099999999999</c:v>
                </c:pt>
                <c:pt idx="30" formatCode="General">
                  <c:v>0.18637300000000001</c:v>
                </c:pt>
                <c:pt idx="31" formatCode="General">
                  <c:v>0.192385</c:v>
                </c:pt>
                <c:pt idx="32" formatCode="General">
                  <c:v>0.19839699999999999</c:v>
                </c:pt>
                <c:pt idx="33" formatCode="General">
                  <c:v>0.20440900000000001</c:v>
                </c:pt>
                <c:pt idx="34" formatCode="General">
                  <c:v>0.210421</c:v>
                </c:pt>
                <c:pt idx="35" formatCode="General">
                  <c:v>0.21643299999999999</c:v>
                </c:pt>
                <c:pt idx="36" formatCode="General">
                  <c:v>0.222445</c:v>
                </c:pt>
                <c:pt idx="37" formatCode="General">
                  <c:v>0.22845699999999999</c:v>
                </c:pt>
                <c:pt idx="38" formatCode="General">
                  <c:v>0.23446900000000001</c:v>
                </c:pt>
                <c:pt idx="39" formatCode="General">
                  <c:v>0.240481</c:v>
                </c:pt>
                <c:pt idx="40" formatCode="General">
                  <c:v>0.24649299999999999</c:v>
                </c:pt>
                <c:pt idx="41" formatCode="General">
                  <c:v>0.25250499999999998</c:v>
                </c:pt>
                <c:pt idx="42" formatCode="General">
                  <c:v>0.258517</c:v>
                </c:pt>
                <c:pt idx="43" formatCode="General">
                  <c:v>0.26452900000000001</c:v>
                </c:pt>
                <c:pt idx="44" formatCode="General">
                  <c:v>0.27054099999999998</c:v>
                </c:pt>
                <c:pt idx="45" formatCode="General">
                  <c:v>0.27655299999999999</c:v>
                </c:pt>
                <c:pt idx="46" formatCode="General">
                  <c:v>0.28256500000000001</c:v>
                </c:pt>
                <c:pt idx="47" formatCode="General">
                  <c:v>0.28857699999999997</c:v>
                </c:pt>
                <c:pt idx="48" formatCode="General">
                  <c:v>0.29458899999999999</c:v>
                </c:pt>
                <c:pt idx="49" formatCode="General">
                  <c:v>0.30060100000000001</c:v>
                </c:pt>
                <c:pt idx="50" formatCode="General">
                  <c:v>0.30661300000000002</c:v>
                </c:pt>
                <c:pt idx="51" formatCode="General">
                  <c:v>0.31262499999999999</c:v>
                </c:pt>
                <c:pt idx="52" formatCode="General">
                  <c:v>0.318637</c:v>
                </c:pt>
                <c:pt idx="53" formatCode="General">
                  <c:v>0.32464900000000002</c:v>
                </c:pt>
                <c:pt idx="54" formatCode="General">
                  <c:v>0.33066099999999998</c:v>
                </c:pt>
                <c:pt idx="55" formatCode="General">
                  <c:v>0.336673</c:v>
                </c:pt>
                <c:pt idx="56" formatCode="General">
                  <c:v>0.34268500000000002</c:v>
                </c:pt>
                <c:pt idx="57" formatCode="General">
                  <c:v>0.34869699999999998</c:v>
                </c:pt>
                <c:pt idx="58" formatCode="General">
                  <c:v>0.354709</c:v>
                </c:pt>
                <c:pt idx="59" formatCode="General">
                  <c:v>0.36072100000000001</c:v>
                </c:pt>
                <c:pt idx="60" formatCode="General">
                  <c:v>0.36673299999999998</c:v>
                </c:pt>
                <c:pt idx="61" formatCode="General">
                  <c:v>0.37274499999999999</c:v>
                </c:pt>
                <c:pt idx="62" formatCode="General">
                  <c:v>0.37875799999999998</c:v>
                </c:pt>
                <c:pt idx="63" formatCode="General">
                  <c:v>0.38477</c:v>
                </c:pt>
                <c:pt idx="64" formatCode="General">
                  <c:v>0.39078200000000002</c:v>
                </c:pt>
                <c:pt idx="65" formatCode="General">
                  <c:v>0.39679399999999998</c:v>
                </c:pt>
                <c:pt idx="66" formatCode="General">
                  <c:v>0.402806</c:v>
                </c:pt>
                <c:pt idx="67" formatCode="General">
                  <c:v>0.40881800000000001</c:v>
                </c:pt>
                <c:pt idx="68" formatCode="General">
                  <c:v>0.41482999999999998</c:v>
                </c:pt>
                <c:pt idx="69" formatCode="General">
                  <c:v>0.42084199999999999</c:v>
                </c:pt>
                <c:pt idx="70" formatCode="General">
                  <c:v>0.42685400000000001</c:v>
                </c:pt>
                <c:pt idx="71" formatCode="General">
                  <c:v>0.43286599999999997</c:v>
                </c:pt>
                <c:pt idx="72" formatCode="General">
                  <c:v>0.43887799999999999</c:v>
                </c:pt>
                <c:pt idx="73" formatCode="General">
                  <c:v>0.44489000000000001</c:v>
                </c:pt>
                <c:pt idx="74" formatCode="General">
                  <c:v>0.45090200000000003</c:v>
                </c:pt>
                <c:pt idx="75" formatCode="General">
                  <c:v>0.45691399999999999</c:v>
                </c:pt>
                <c:pt idx="76" formatCode="General">
                  <c:v>0.462926</c:v>
                </c:pt>
                <c:pt idx="77" formatCode="General">
                  <c:v>0.46893800000000002</c:v>
                </c:pt>
                <c:pt idx="78" formatCode="General">
                  <c:v>0.47494999999999998</c:v>
                </c:pt>
                <c:pt idx="79" formatCode="General">
                  <c:v>0.480962</c:v>
                </c:pt>
                <c:pt idx="80" formatCode="General">
                  <c:v>0.48697400000000002</c:v>
                </c:pt>
                <c:pt idx="81" formatCode="General">
                  <c:v>0.49298599999999998</c:v>
                </c:pt>
                <c:pt idx="82" formatCode="General">
                  <c:v>0.498998</c:v>
                </c:pt>
                <c:pt idx="83" formatCode="General">
                  <c:v>0.50500999999999996</c:v>
                </c:pt>
                <c:pt idx="84" formatCode="General">
                  <c:v>0.51102199999999998</c:v>
                </c:pt>
                <c:pt idx="85" formatCode="General">
                  <c:v>0.51703399999999999</c:v>
                </c:pt>
                <c:pt idx="86" formatCode="General">
                  <c:v>0.52304600000000001</c:v>
                </c:pt>
                <c:pt idx="87" formatCode="General">
                  <c:v>0.52905800000000003</c:v>
                </c:pt>
                <c:pt idx="88" formatCode="General">
                  <c:v>0.53507000000000005</c:v>
                </c:pt>
                <c:pt idx="89" formatCode="General">
                  <c:v>0.54108199999999995</c:v>
                </c:pt>
                <c:pt idx="90" formatCode="General">
                  <c:v>0.54709399999999997</c:v>
                </c:pt>
                <c:pt idx="91" formatCode="General">
                  <c:v>0.55310599999999999</c:v>
                </c:pt>
                <c:pt idx="92" formatCode="General">
                  <c:v>0.559118</c:v>
                </c:pt>
                <c:pt idx="93" formatCode="General">
                  <c:v>0.56513000000000002</c:v>
                </c:pt>
                <c:pt idx="94" formatCode="General">
                  <c:v>0.57114200000000004</c:v>
                </c:pt>
                <c:pt idx="95" formatCode="General">
                  <c:v>0.57715399999999994</c:v>
                </c:pt>
                <c:pt idx="96" formatCode="General">
                  <c:v>0.58316599999999996</c:v>
                </c:pt>
                <c:pt idx="97" formatCode="General">
                  <c:v>0.58917799999999998</c:v>
                </c:pt>
                <c:pt idx="98" formatCode="General">
                  <c:v>0.59519</c:v>
                </c:pt>
                <c:pt idx="99" formatCode="General">
                  <c:v>0.60120200000000001</c:v>
                </c:pt>
                <c:pt idx="100" formatCode="General">
                  <c:v>0.60721400000000003</c:v>
                </c:pt>
                <c:pt idx="101" formatCode="General">
                  <c:v>0.61322600000000005</c:v>
                </c:pt>
                <c:pt idx="102" formatCode="General">
                  <c:v>0.61923799999999996</c:v>
                </c:pt>
                <c:pt idx="103" formatCode="General">
                  <c:v>0.62524999999999997</c:v>
                </c:pt>
                <c:pt idx="104" formatCode="General">
                  <c:v>0.63126199999999999</c:v>
                </c:pt>
                <c:pt idx="105" formatCode="General">
                  <c:v>0.63727500000000004</c:v>
                </c:pt>
                <c:pt idx="106" formatCode="General">
                  <c:v>0.64328700000000005</c:v>
                </c:pt>
                <c:pt idx="107" formatCode="General">
                  <c:v>0.64929899999999996</c:v>
                </c:pt>
                <c:pt idx="108" formatCode="General">
                  <c:v>0.65531099999999998</c:v>
                </c:pt>
                <c:pt idx="109" formatCode="General">
                  <c:v>0.66132299999999999</c:v>
                </c:pt>
                <c:pt idx="110" formatCode="General">
                  <c:v>0.66733500000000001</c:v>
                </c:pt>
                <c:pt idx="111" formatCode="General">
                  <c:v>0.67334700000000003</c:v>
                </c:pt>
                <c:pt idx="112" formatCode="General">
                  <c:v>0.67935900000000005</c:v>
                </c:pt>
                <c:pt idx="113" formatCode="General">
                  <c:v>0.68537099999999995</c:v>
                </c:pt>
                <c:pt idx="114" formatCode="General">
                  <c:v>0.69138299999999997</c:v>
                </c:pt>
                <c:pt idx="115" formatCode="General">
                  <c:v>0.69739499999999999</c:v>
                </c:pt>
                <c:pt idx="116" formatCode="General">
                  <c:v>0.703407</c:v>
                </c:pt>
                <c:pt idx="117" formatCode="General">
                  <c:v>0.70941900000000002</c:v>
                </c:pt>
                <c:pt idx="118" formatCode="General">
                  <c:v>0.71543100000000004</c:v>
                </c:pt>
                <c:pt idx="119" formatCode="General">
                  <c:v>0.72144299999999995</c:v>
                </c:pt>
                <c:pt idx="120" formatCode="General">
                  <c:v>0.72745499999999996</c:v>
                </c:pt>
                <c:pt idx="121" formatCode="General">
                  <c:v>0.73346699999999998</c:v>
                </c:pt>
                <c:pt idx="122" formatCode="General">
                  <c:v>0.739479</c:v>
                </c:pt>
                <c:pt idx="123" formatCode="General">
                  <c:v>0.74549100000000001</c:v>
                </c:pt>
                <c:pt idx="124" formatCode="General">
                  <c:v>0.75150300000000003</c:v>
                </c:pt>
                <c:pt idx="125" formatCode="General">
                  <c:v>0.75751500000000005</c:v>
                </c:pt>
                <c:pt idx="126" formatCode="General">
                  <c:v>0.76352699999999996</c:v>
                </c:pt>
                <c:pt idx="127" formatCode="General">
                  <c:v>0.76953899999999997</c:v>
                </c:pt>
                <c:pt idx="128" formatCode="General">
                  <c:v>0.77555099999999999</c:v>
                </c:pt>
                <c:pt idx="129" formatCode="General">
                  <c:v>0.78156300000000001</c:v>
                </c:pt>
                <c:pt idx="130" formatCode="General">
                  <c:v>0.78757500000000003</c:v>
                </c:pt>
                <c:pt idx="131" formatCode="General">
                  <c:v>0.79358700000000004</c:v>
                </c:pt>
                <c:pt idx="132" formatCode="General">
                  <c:v>0.79959899999999995</c:v>
                </c:pt>
                <c:pt idx="133" formatCode="General">
                  <c:v>0.80561099999999997</c:v>
                </c:pt>
                <c:pt idx="134" formatCode="General">
                  <c:v>0.81162299999999998</c:v>
                </c:pt>
                <c:pt idx="135" formatCode="General">
                  <c:v>0.817635</c:v>
                </c:pt>
                <c:pt idx="136" formatCode="General">
                  <c:v>0.82364700000000002</c:v>
                </c:pt>
                <c:pt idx="137" formatCode="General">
                  <c:v>0.82965900000000004</c:v>
                </c:pt>
                <c:pt idx="138" formatCode="General">
                  <c:v>0.83567100000000005</c:v>
                </c:pt>
                <c:pt idx="139" formatCode="General">
                  <c:v>0.84168299999999996</c:v>
                </c:pt>
                <c:pt idx="140" formatCode="General">
                  <c:v>0.84769499999999998</c:v>
                </c:pt>
                <c:pt idx="141" formatCode="General">
                  <c:v>0.85370699999999999</c:v>
                </c:pt>
                <c:pt idx="142" formatCode="General">
                  <c:v>0.85971900000000001</c:v>
                </c:pt>
                <c:pt idx="143" formatCode="General">
                  <c:v>0.86573100000000003</c:v>
                </c:pt>
                <c:pt idx="144" formatCode="General">
                  <c:v>0.87174300000000005</c:v>
                </c:pt>
                <c:pt idx="145" formatCode="General">
                  <c:v>0.87775499999999995</c:v>
                </c:pt>
                <c:pt idx="146" formatCode="General">
                  <c:v>0.88376699999999997</c:v>
                </c:pt>
                <c:pt idx="147" formatCode="General">
                  <c:v>0.88978000000000002</c:v>
                </c:pt>
                <c:pt idx="148" formatCode="General">
                  <c:v>0.89579200000000003</c:v>
                </c:pt>
                <c:pt idx="149" formatCode="General">
                  <c:v>0.90180400000000005</c:v>
                </c:pt>
                <c:pt idx="150" formatCode="General">
                  <c:v>0.90781599999999996</c:v>
                </c:pt>
                <c:pt idx="151" formatCode="General">
                  <c:v>0.91382799999999997</c:v>
                </c:pt>
                <c:pt idx="152" formatCode="General">
                  <c:v>0.91983999999999999</c:v>
                </c:pt>
                <c:pt idx="153" formatCode="General">
                  <c:v>0.92585200000000001</c:v>
                </c:pt>
                <c:pt idx="154" formatCode="General">
                  <c:v>0.93186400000000003</c:v>
                </c:pt>
                <c:pt idx="155" formatCode="General">
                  <c:v>0.93787600000000004</c:v>
                </c:pt>
                <c:pt idx="156" formatCode="General">
                  <c:v>0.94388799999999995</c:v>
                </c:pt>
                <c:pt idx="157" formatCode="General">
                  <c:v>0.94989999999999997</c:v>
                </c:pt>
                <c:pt idx="158" formatCode="General">
                  <c:v>0.95591199999999998</c:v>
                </c:pt>
                <c:pt idx="159" formatCode="General">
                  <c:v>0.961924</c:v>
                </c:pt>
                <c:pt idx="160" formatCode="General">
                  <c:v>0.96793600000000002</c:v>
                </c:pt>
                <c:pt idx="161" formatCode="General">
                  <c:v>0.97394800000000004</c:v>
                </c:pt>
                <c:pt idx="162" formatCode="General">
                  <c:v>0.97996000000000005</c:v>
                </c:pt>
                <c:pt idx="163" formatCode="General">
                  <c:v>0.98597199999999996</c:v>
                </c:pt>
                <c:pt idx="164" formatCode="General">
                  <c:v>0.99198399999999998</c:v>
                </c:pt>
                <c:pt idx="165" formatCode="General">
                  <c:v>0.99799599999999999</c:v>
                </c:pt>
                <c:pt idx="166" formatCode="General">
                  <c:v>1.0040100000000001</c:v>
                </c:pt>
                <c:pt idx="167" formatCode="General">
                  <c:v>1.0100199999999999</c:v>
                </c:pt>
                <c:pt idx="168" formatCode="General">
                  <c:v>1.01603</c:v>
                </c:pt>
                <c:pt idx="169" formatCode="General">
                  <c:v>1.0220400000000001</c:v>
                </c:pt>
                <c:pt idx="170" formatCode="General">
                  <c:v>1.02806</c:v>
                </c:pt>
                <c:pt idx="171" formatCode="General">
                  <c:v>1.03407</c:v>
                </c:pt>
                <c:pt idx="172" formatCode="General">
                  <c:v>1.0400799999999999</c:v>
                </c:pt>
                <c:pt idx="173" formatCode="General">
                  <c:v>1.04609</c:v>
                </c:pt>
                <c:pt idx="174" formatCode="General">
                  <c:v>1.0521</c:v>
                </c:pt>
                <c:pt idx="175" formatCode="General">
                  <c:v>1.0581199999999999</c:v>
                </c:pt>
                <c:pt idx="176" formatCode="General">
                  <c:v>1.06413</c:v>
                </c:pt>
                <c:pt idx="177" formatCode="General">
                  <c:v>1.0701400000000001</c:v>
                </c:pt>
                <c:pt idx="178" formatCode="General">
                  <c:v>1.0761499999999999</c:v>
                </c:pt>
                <c:pt idx="179" formatCode="General">
                  <c:v>1.08216</c:v>
                </c:pt>
                <c:pt idx="180" formatCode="General">
                  <c:v>1.0881799999999999</c:v>
                </c:pt>
                <c:pt idx="181" formatCode="General">
                  <c:v>1.09419</c:v>
                </c:pt>
                <c:pt idx="182" formatCode="General">
                  <c:v>1.1002000000000001</c:v>
                </c:pt>
                <c:pt idx="183" formatCode="General">
                  <c:v>1.1062099999999999</c:v>
                </c:pt>
                <c:pt idx="184" formatCode="General">
                  <c:v>1.11222</c:v>
                </c:pt>
                <c:pt idx="185" formatCode="General">
                  <c:v>1.1182399999999999</c:v>
                </c:pt>
                <c:pt idx="186" formatCode="General">
                  <c:v>1.12425</c:v>
                </c:pt>
                <c:pt idx="187" formatCode="General">
                  <c:v>1.13026</c:v>
                </c:pt>
                <c:pt idx="188" formatCode="General">
                  <c:v>1.1362699999999999</c:v>
                </c:pt>
                <c:pt idx="189" formatCode="General">
                  <c:v>1.14228</c:v>
                </c:pt>
                <c:pt idx="190" formatCode="General">
                  <c:v>1.1483000000000001</c:v>
                </c:pt>
                <c:pt idx="191" formatCode="General">
                  <c:v>1.1543099999999999</c:v>
                </c:pt>
                <c:pt idx="192" formatCode="General">
                  <c:v>1.16032</c:v>
                </c:pt>
                <c:pt idx="193" formatCode="General">
                  <c:v>1.1663300000000001</c:v>
                </c:pt>
                <c:pt idx="194" formatCode="General">
                  <c:v>1.1723399999999999</c:v>
                </c:pt>
                <c:pt idx="195" formatCode="General">
                  <c:v>1.1783600000000001</c:v>
                </c:pt>
                <c:pt idx="196" formatCode="General">
                  <c:v>1.1843699999999999</c:v>
                </c:pt>
                <c:pt idx="197" formatCode="General">
                  <c:v>1.19038</c:v>
                </c:pt>
                <c:pt idx="198" formatCode="General">
                  <c:v>1.1963900000000001</c:v>
                </c:pt>
                <c:pt idx="199" formatCode="General">
                  <c:v>1.2023999999999999</c:v>
                </c:pt>
                <c:pt idx="200" formatCode="General">
                  <c:v>1.20842</c:v>
                </c:pt>
                <c:pt idx="201" formatCode="General">
                  <c:v>1.2144299999999999</c:v>
                </c:pt>
                <c:pt idx="202" formatCode="General">
                  <c:v>1.22044</c:v>
                </c:pt>
                <c:pt idx="203" formatCode="General">
                  <c:v>1.22645</c:v>
                </c:pt>
                <c:pt idx="204" formatCode="General">
                  <c:v>1.2324600000000001</c:v>
                </c:pt>
                <c:pt idx="205" formatCode="General">
                  <c:v>1.23848</c:v>
                </c:pt>
                <c:pt idx="206" formatCode="General">
                  <c:v>1.2444900000000001</c:v>
                </c:pt>
                <c:pt idx="207" formatCode="General">
                  <c:v>1.2504999999999999</c:v>
                </c:pt>
                <c:pt idx="208" formatCode="General">
                  <c:v>1.25651</c:v>
                </c:pt>
                <c:pt idx="209" formatCode="General">
                  <c:v>1.2625200000000001</c:v>
                </c:pt>
                <c:pt idx="210" formatCode="General">
                  <c:v>1.26854</c:v>
                </c:pt>
                <c:pt idx="211" formatCode="General">
                  <c:v>1.2745500000000001</c:v>
                </c:pt>
                <c:pt idx="212" formatCode="General">
                  <c:v>1.2805599999999999</c:v>
                </c:pt>
                <c:pt idx="213" formatCode="General">
                  <c:v>1.28657</c:v>
                </c:pt>
                <c:pt idx="214" formatCode="General">
                  <c:v>1.2925899999999999</c:v>
                </c:pt>
                <c:pt idx="215" formatCode="General">
                  <c:v>1.2986</c:v>
                </c:pt>
                <c:pt idx="216" formatCode="General">
                  <c:v>1.30461</c:v>
                </c:pt>
                <c:pt idx="217" formatCode="General">
                  <c:v>1.3106199999999999</c:v>
                </c:pt>
                <c:pt idx="218" formatCode="General">
                  <c:v>1.31663</c:v>
                </c:pt>
                <c:pt idx="219" formatCode="General">
                  <c:v>1.3226500000000001</c:v>
                </c:pt>
                <c:pt idx="220" formatCode="General">
                  <c:v>1.32866</c:v>
                </c:pt>
                <c:pt idx="221" formatCode="General">
                  <c:v>1.33467</c:v>
                </c:pt>
                <c:pt idx="222" formatCode="General">
                  <c:v>1.3406800000000001</c:v>
                </c:pt>
                <c:pt idx="223" formatCode="General">
                  <c:v>1.3466899999999999</c:v>
                </c:pt>
                <c:pt idx="224" formatCode="General">
                  <c:v>1.3527100000000001</c:v>
                </c:pt>
                <c:pt idx="225" formatCode="General">
                  <c:v>1.3587199999999999</c:v>
                </c:pt>
                <c:pt idx="226" formatCode="General">
                  <c:v>1.36473</c:v>
                </c:pt>
                <c:pt idx="227" formatCode="General">
                  <c:v>1.3707400000000001</c:v>
                </c:pt>
                <c:pt idx="228" formatCode="General">
                  <c:v>1.3767499999999999</c:v>
                </c:pt>
                <c:pt idx="229" formatCode="General">
                  <c:v>1.3827700000000001</c:v>
                </c:pt>
                <c:pt idx="230" formatCode="General">
                  <c:v>1.3887799999999999</c:v>
                </c:pt>
                <c:pt idx="231" formatCode="General">
                  <c:v>1.39479</c:v>
                </c:pt>
                <c:pt idx="232" formatCode="General">
                  <c:v>1.4008</c:v>
                </c:pt>
                <c:pt idx="233" formatCode="General">
                  <c:v>1.4068099999999999</c:v>
                </c:pt>
                <c:pt idx="234" formatCode="General">
                  <c:v>1.41283</c:v>
                </c:pt>
                <c:pt idx="235" formatCode="General">
                  <c:v>1.4188400000000001</c:v>
                </c:pt>
                <c:pt idx="236" formatCode="General">
                  <c:v>1.4248499999999999</c:v>
                </c:pt>
                <c:pt idx="237" formatCode="General">
                  <c:v>1.43086</c:v>
                </c:pt>
                <c:pt idx="238" formatCode="General">
                  <c:v>1.4368700000000001</c:v>
                </c:pt>
                <c:pt idx="239" formatCode="General">
                  <c:v>1.44289</c:v>
                </c:pt>
                <c:pt idx="240" formatCode="General">
                  <c:v>1.4489000000000001</c:v>
                </c:pt>
                <c:pt idx="241" formatCode="General">
                  <c:v>1.4549099999999999</c:v>
                </c:pt>
                <c:pt idx="242" formatCode="General">
                  <c:v>1.46092</c:v>
                </c:pt>
                <c:pt idx="243" formatCode="General">
                  <c:v>1.4669300000000001</c:v>
                </c:pt>
                <c:pt idx="244" formatCode="General">
                  <c:v>1.47295</c:v>
                </c:pt>
                <c:pt idx="245" formatCode="General">
                  <c:v>1.4789600000000001</c:v>
                </c:pt>
                <c:pt idx="246" formatCode="General">
                  <c:v>1.4849699999999999</c:v>
                </c:pt>
                <c:pt idx="247" formatCode="General">
                  <c:v>1.49098</c:v>
                </c:pt>
                <c:pt idx="248" formatCode="General">
                  <c:v>1.49699</c:v>
                </c:pt>
                <c:pt idx="249" formatCode="General">
                  <c:v>1.50301</c:v>
                </c:pt>
                <c:pt idx="250" formatCode="General">
                  <c:v>1.50902</c:v>
                </c:pt>
                <c:pt idx="251" formatCode="General">
                  <c:v>1.5150300000000001</c:v>
                </c:pt>
                <c:pt idx="252" formatCode="General">
                  <c:v>1.5210399999999999</c:v>
                </c:pt>
                <c:pt idx="253" formatCode="General">
                  <c:v>1.52705</c:v>
                </c:pt>
                <c:pt idx="254" formatCode="General">
                  <c:v>1.5330699999999999</c:v>
                </c:pt>
                <c:pt idx="255" formatCode="General">
                  <c:v>1.53908</c:v>
                </c:pt>
                <c:pt idx="256" formatCode="General">
                  <c:v>1.5450900000000001</c:v>
                </c:pt>
                <c:pt idx="257" formatCode="General">
                  <c:v>1.5510999999999999</c:v>
                </c:pt>
                <c:pt idx="258" formatCode="General">
                  <c:v>1.55711</c:v>
                </c:pt>
                <c:pt idx="259" formatCode="General">
                  <c:v>1.5631299999999999</c:v>
                </c:pt>
                <c:pt idx="260" formatCode="General">
                  <c:v>1.56914</c:v>
                </c:pt>
                <c:pt idx="261" formatCode="General">
                  <c:v>1.5751500000000001</c:v>
                </c:pt>
                <c:pt idx="262" formatCode="General">
                  <c:v>1.5811599999999999</c:v>
                </c:pt>
                <c:pt idx="263" formatCode="General">
                  <c:v>1.58717</c:v>
                </c:pt>
                <c:pt idx="264" formatCode="General">
                  <c:v>1.5931900000000001</c:v>
                </c:pt>
                <c:pt idx="265" formatCode="General">
                  <c:v>1.5992</c:v>
                </c:pt>
                <c:pt idx="266" formatCode="General">
                  <c:v>1.60521</c:v>
                </c:pt>
                <c:pt idx="267" formatCode="General">
                  <c:v>1.6112200000000001</c:v>
                </c:pt>
                <c:pt idx="268" formatCode="General">
                  <c:v>1.6172299999999999</c:v>
                </c:pt>
                <c:pt idx="269" formatCode="General">
                  <c:v>1.6232500000000001</c:v>
                </c:pt>
                <c:pt idx="270" formatCode="General">
                  <c:v>1.6292599999999999</c:v>
                </c:pt>
                <c:pt idx="271" formatCode="General">
                  <c:v>1.63527</c:v>
                </c:pt>
                <c:pt idx="272" formatCode="General">
                  <c:v>1.6412800000000001</c:v>
                </c:pt>
                <c:pt idx="273" formatCode="General">
                  <c:v>1.6472899999999999</c:v>
                </c:pt>
                <c:pt idx="274" formatCode="General">
                  <c:v>1.6533100000000001</c:v>
                </c:pt>
                <c:pt idx="275" formatCode="General">
                  <c:v>1.6593199999999999</c:v>
                </c:pt>
                <c:pt idx="276" formatCode="General">
                  <c:v>1.66533</c:v>
                </c:pt>
                <c:pt idx="277" formatCode="General">
                  <c:v>1.67134</c:v>
                </c:pt>
                <c:pt idx="278" formatCode="General">
                  <c:v>1.6773499999999999</c:v>
                </c:pt>
                <c:pt idx="279" formatCode="General">
                  <c:v>1.68337</c:v>
                </c:pt>
                <c:pt idx="280" formatCode="General">
                  <c:v>1.6893800000000001</c:v>
                </c:pt>
                <c:pt idx="281" formatCode="General">
                  <c:v>1.69539</c:v>
                </c:pt>
                <c:pt idx="282" formatCode="General">
                  <c:v>1.7014</c:v>
                </c:pt>
                <c:pt idx="283" formatCode="General">
                  <c:v>1.7074100000000001</c:v>
                </c:pt>
                <c:pt idx="284" formatCode="General">
                  <c:v>1.71343</c:v>
                </c:pt>
                <c:pt idx="285" formatCode="General">
                  <c:v>1.7194400000000001</c:v>
                </c:pt>
                <c:pt idx="286" formatCode="General">
                  <c:v>1.7254499999999999</c:v>
                </c:pt>
                <c:pt idx="287" formatCode="General">
                  <c:v>1.73146</c:v>
                </c:pt>
                <c:pt idx="288" formatCode="General">
                  <c:v>1.7374700000000001</c:v>
                </c:pt>
                <c:pt idx="289" formatCode="General">
                  <c:v>1.74349</c:v>
                </c:pt>
                <c:pt idx="290" formatCode="General">
                  <c:v>1.7495000000000001</c:v>
                </c:pt>
                <c:pt idx="291" formatCode="General">
                  <c:v>1.7555099999999999</c:v>
                </c:pt>
                <c:pt idx="292" formatCode="General">
                  <c:v>1.76152</c:v>
                </c:pt>
                <c:pt idx="293" formatCode="General">
                  <c:v>1.76753</c:v>
                </c:pt>
                <c:pt idx="294" formatCode="General">
                  <c:v>1.77355</c:v>
                </c:pt>
                <c:pt idx="295" formatCode="General">
                  <c:v>1.77956</c:v>
                </c:pt>
                <c:pt idx="296" formatCode="General">
                  <c:v>1.7855700000000001</c:v>
                </c:pt>
                <c:pt idx="297" formatCode="General">
                  <c:v>1.79158</c:v>
                </c:pt>
                <c:pt idx="298" formatCode="General">
                  <c:v>1.7976000000000001</c:v>
                </c:pt>
                <c:pt idx="299" formatCode="General">
                  <c:v>1.8036099999999999</c:v>
                </c:pt>
                <c:pt idx="300" formatCode="General">
                  <c:v>1.80962</c:v>
                </c:pt>
                <c:pt idx="301" formatCode="General">
                  <c:v>1.8156300000000001</c:v>
                </c:pt>
                <c:pt idx="302" formatCode="General">
                  <c:v>1.8216399999999999</c:v>
                </c:pt>
                <c:pt idx="303" formatCode="General">
                  <c:v>1.8276600000000001</c:v>
                </c:pt>
                <c:pt idx="304" formatCode="General">
                  <c:v>1.8336699999999999</c:v>
                </c:pt>
                <c:pt idx="305" formatCode="General">
                  <c:v>1.83968</c:v>
                </c:pt>
                <c:pt idx="306" formatCode="General">
                  <c:v>1.8456900000000001</c:v>
                </c:pt>
                <c:pt idx="307" formatCode="General">
                  <c:v>1.8516999999999999</c:v>
                </c:pt>
                <c:pt idx="308" formatCode="General">
                  <c:v>1.85772</c:v>
                </c:pt>
                <c:pt idx="309" formatCode="General">
                  <c:v>1.8637300000000001</c:v>
                </c:pt>
                <c:pt idx="310" formatCode="General">
                  <c:v>1.86974</c:v>
                </c:pt>
                <c:pt idx="311" formatCode="General">
                  <c:v>1.87575</c:v>
                </c:pt>
                <c:pt idx="312" formatCode="General">
                  <c:v>1.8817600000000001</c:v>
                </c:pt>
                <c:pt idx="313" formatCode="General">
                  <c:v>1.88778</c:v>
                </c:pt>
                <c:pt idx="314" formatCode="General">
                  <c:v>1.8937900000000001</c:v>
                </c:pt>
                <c:pt idx="315" formatCode="General">
                  <c:v>1.8997999999999999</c:v>
                </c:pt>
                <c:pt idx="316" formatCode="General">
                  <c:v>1.90581</c:v>
                </c:pt>
                <c:pt idx="317" formatCode="General">
                  <c:v>1.9118200000000001</c:v>
                </c:pt>
                <c:pt idx="318" formatCode="General">
                  <c:v>1.91784</c:v>
                </c:pt>
                <c:pt idx="319" formatCode="General">
                  <c:v>1.9238500000000001</c:v>
                </c:pt>
                <c:pt idx="320" formatCode="General">
                  <c:v>1.9298599999999999</c:v>
                </c:pt>
                <c:pt idx="321" formatCode="General">
                  <c:v>1.93587</c:v>
                </c:pt>
                <c:pt idx="322" formatCode="General">
                  <c:v>1.9418800000000001</c:v>
                </c:pt>
                <c:pt idx="323" formatCode="General">
                  <c:v>1.9479</c:v>
                </c:pt>
                <c:pt idx="324" formatCode="General">
                  <c:v>1.95391</c:v>
                </c:pt>
                <c:pt idx="325" formatCode="General">
                  <c:v>1.9599200000000001</c:v>
                </c:pt>
                <c:pt idx="326" formatCode="General">
                  <c:v>1.96593</c:v>
                </c:pt>
                <c:pt idx="327" formatCode="General">
                  <c:v>1.97194</c:v>
                </c:pt>
                <c:pt idx="328" formatCode="General">
                  <c:v>1.9779599999999999</c:v>
                </c:pt>
                <c:pt idx="329" formatCode="General">
                  <c:v>1.98397</c:v>
                </c:pt>
                <c:pt idx="330" formatCode="General">
                  <c:v>1.9899800000000001</c:v>
                </c:pt>
                <c:pt idx="331" formatCode="General">
                  <c:v>1.9959899999999999</c:v>
                </c:pt>
                <c:pt idx="332" formatCode="General">
                  <c:v>2.0019999999999998</c:v>
                </c:pt>
                <c:pt idx="333" formatCode="General">
                  <c:v>2.0080200000000001</c:v>
                </c:pt>
                <c:pt idx="334" formatCode="General">
                  <c:v>2.01403</c:v>
                </c:pt>
                <c:pt idx="335" formatCode="General">
                  <c:v>2.0200399999999998</c:v>
                </c:pt>
                <c:pt idx="336" formatCode="General">
                  <c:v>2.0260500000000001</c:v>
                </c:pt>
                <c:pt idx="337" formatCode="General">
                  <c:v>2.03206</c:v>
                </c:pt>
                <c:pt idx="338" formatCode="General">
                  <c:v>2.0380799999999999</c:v>
                </c:pt>
                <c:pt idx="339" formatCode="General">
                  <c:v>2.0440900000000002</c:v>
                </c:pt>
                <c:pt idx="340" formatCode="General">
                  <c:v>2.0501</c:v>
                </c:pt>
                <c:pt idx="341" formatCode="General">
                  <c:v>2.0561099999999999</c:v>
                </c:pt>
                <c:pt idx="342" formatCode="General">
                  <c:v>2.0621200000000002</c:v>
                </c:pt>
                <c:pt idx="343" formatCode="General">
                  <c:v>2.0681400000000001</c:v>
                </c:pt>
                <c:pt idx="344" formatCode="General">
                  <c:v>2.0741499999999999</c:v>
                </c:pt>
                <c:pt idx="345" formatCode="General">
                  <c:v>2.0801599999999998</c:v>
                </c:pt>
                <c:pt idx="346" formatCode="General">
                  <c:v>2.0861700000000001</c:v>
                </c:pt>
                <c:pt idx="347" formatCode="General">
                  <c:v>2.0921799999999999</c:v>
                </c:pt>
                <c:pt idx="348" formatCode="General">
                  <c:v>2.0981999999999998</c:v>
                </c:pt>
                <c:pt idx="349" formatCode="General">
                  <c:v>2.1042100000000001</c:v>
                </c:pt>
                <c:pt idx="350" formatCode="General">
                  <c:v>2.11022</c:v>
                </c:pt>
                <c:pt idx="351" formatCode="General">
                  <c:v>2.1162299999999998</c:v>
                </c:pt>
                <c:pt idx="352" formatCode="General">
                  <c:v>2.1222400000000001</c:v>
                </c:pt>
                <c:pt idx="353" formatCode="General">
                  <c:v>2.12826</c:v>
                </c:pt>
                <c:pt idx="354" formatCode="General">
                  <c:v>2.1342699999999999</c:v>
                </c:pt>
                <c:pt idx="355" formatCode="General">
                  <c:v>2.1402800000000002</c:v>
                </c:pt>
                <c:pt idx="356" formatCode="General">
                  <c:v>2.14629</c:v>
                </c:pt>
                <c:pt idx="357" formatCode="General">
                  <c:v>2.1522999999999999</c:v>
                </c:pt>
                <c:pt idx="358" formatCode="General">
                  <c:v>2.1583199999999998</c:v>
                </c:pt>
                <c:pt idx="359" formatCode="General">
                  <c:v>2.1643300000000001</c:v>
                </c:pt>
                <c:pt idx="360" formatCode="General">
                  <c:v>2.1703399999999999</c:v>
                </c:pt>
                <c:pt idx="361" formatCode="General">
                  <c:v>2.1763499999999998</c:v>
                </c:pt>
                <c:pt idx="362" formatCode="General">
                  <c:v>2.1823600000000001</c:v>
                </c:pt>
                <c:pt idx="363" formatCode="General">
                  <c:v>2.18838</c:v>
                </c:pt>
                <c:pt idx="364" formatCode="General">
                  <c:v>2.1943899999999998</c:v>
                </c:pt>
                <c:pt idx="365" formatCode="General">
                  <c:v>2.2004000000000001</c:v>
                </c:pt>
                <c:pt idx="366" formatCode="General">
                  <c:v>2.20641</c:v>
                </c:pt>
                <c:pt idx="367" formatCode="General">
                  <c:v>2.2124199999999998</c:v>
                </c:pt>
                <c:pt idx="368" formatCode="General">
                  <c:v>2.2184400000000002</c:v>
                </c:pt>
                <c:pt idx="369" formatCode="General">
                  <c:v>2.22445</c:v>
                </c:pt>
                <c:pt idx="370" formatCode="General">
                  <c:v>2.2304599999999999</c:v>
                </c:pt>
                <c:pt idx="371" formatCode="General">
                  <c:v>2.2364700000000002</c:v>
                </c:pt>
                <c:pt idx="372" formatCode="General">
                  <c:v>2.24248</c:v>
                </c:pt>
                <c:pt idx="373" formatCode="General">
                  <c:v>2.2484999999999999</c:v>
                </c:pt>
                <c:pt idx="374" formatCode="General">
                  <c:v>2.2545099999999998</c:v>
                </c:pt>
                <c:pt idx="375" formatCode="General">
                  <c:v>2.2605200000000001</c:v>
                </c:pt>
                <c:pt idx="376" formatCode="General">
                  <c:v>2.2665299999999999</c:v>
                </c:pt>
                <c:pt idx="377" formatCode="General">
                  <c:v>2.2725499999999998</c:v>
                </c:pt>
                <c:pt idx="378" formatCode="General">
                  <c:v>2.2785600000000001</c:v>
                </c:pt>
                <c:pt idx="379" formatCode="General">
                  <c:v>2.28457</c:v>
                </c:pt>
                <c:pt idx="380" formatCode="General">
                  <c:v>2.2905799999999998</c:v>
                </c:pt>
                <c:pt idx="381" formatCode="General">
                  <c:v>2.2965900000000001</c:v>
                </c:pt>
                <c:pt idx="382" formatCode="General">
                  <c:v>2.30261</c:v>
                </c:pt>
                <c:pt idx="383" formatCode="General">
                  <c:v>2.3086199999999999</c:v>
                </c:pt>
                <c:pt idx="384" formatCode="General">
                  <c:v>2.3146300000000002</c:v>
                </c:pt>
                <c:pt idx="385" formatCode="General">
                  <c:v>2.32064</c:v>
                </c:pt>
                <c:pt idx="386" formatCode="General">
                  <c:v>2.3266499999999999</c:v>
                </c:pt>
                <c:pt idx="387" formatCode="General">
                  <c:v>2.3326699999999998</c:v>
                </c:pt>
                <c:pt idx="388" formatCode="General">
                  <c:v>2.3386800000000001</c:v>
                </c:pt>
                <c:pt idx="389" formatCode="General">
                  <c:v>2.3446899999999999</c:v>
                </c:pt>
                <c:pt idx="390" formatCode="General">
                  <c:v>2.3506999999999998</c:v>
                </c:pt>
                <c:pt idx="391" formatCode="General">
                  <c:v>2.3567100000000001</c:v>
                </c:pt>
                <c:pt idx="392" formatCode="General">
                  <c:v>2.36273</c:v>
                </c:pt>
                <c:pt idx="393" formatCode="General">
                  <c:v>2.3687399999999998</c:v>
                </c:pt>
                <c:pt idx="394" formatCode="General">
                  <c:v>2.3747500000000001</c:v>
                </c:pt>
                <c:pt idx="395" formatCode="General">
                  <c:v>2.38076</c:v>
                </c:pt>
                <c:pt idx="396" formatCode="General">
                  <c:v>2.3867699999999998</c:v>
                </c:pt>
                <c:pt idx="397" formatCode="General">
                  <c:v>2.3927900000000002</c:v>
                </c:pt>
                <c:pt idx="398" formatCode="General">
                  <c:v>2.3988</c:v>
                </c:pt>
                <c:pt idx="399" formatCode="General">
                  <c:v>2.4048099999999999</c:v>
                </c:pt>
                <c:pt idx="400" formatCode="General">
                  <c:v>2.4108200000000002</c:v>
                </c:pt>
                <c:pt idx="401" formatCode="General">
                  <c:v>2.41683</c:v>
                </c:pt>
                <c:pt idx="402" formatCode="General">
                  <c:v>2.4228499999999999</c:v>
                </c:pt>
                <c:pt idx="403" formatCode="General">
                  <c:v>2.4288599999999998</c:v>
                </c:pt>
                <c:pt idx="404" formatCode="General">
                  <c:v>2.4348700000000001</c:v>
                </c:pt>
                <c:pt idx="405" formatCode="General">
                  <c:v>2.4408799999999999</c:v>
                </c:pt>
                <c:pt idx="406" formatCode="General">
                  <c:v>2.4468899999999998</c:v>
                </c:pt>
                <c:pt idx="407" formatCode="General">
                  <c:v>2.4529100000000001</c:v>
                </c:pt>
                <c:pt idx="408" formatCode="General">
                  <c:v>2.45892</c:v>
                </c:pt>
                <c:pt idx="409" formatCode="General">
                  <c:v>2.4649299999999998</c:v>
                </c:pt>
                <c:pt idx="410" formatCode="General">
                  <c:v>2.4709400000000001</c:v>
                </c:pt>
                <c:pt idx="411" formatCode="General">
                  <c:v>2.47695</c:v>
                </c:pt>
                <c:pt idx="412" formatCode="General">
                  <c:v>2.4829699999999999</c:v>
                </c:pt>
                <c:pt idx="413" formatCode="General">
                  <c:v>2.4889800000000002</c:v>
                </c:pt>
                <c:pt idx="414" formatCode="General">
                  <c:v>2.49499</c:v>
                </c:pt>
                <c:pt idx="415" formatCode="General">
                  <c:v>2.5009999999999999</c:v>
                </c:pt>
                <c:pt idx="416" formatCode="General">
                  <c:v>2.5070100000000002</c:v>
                </c:pt>
                <c:pt idx="417" formatCode="General">
                  <c:v>2.5130300000000001</c:v>
                </c:pt>
                <c:pt idx="418" formatCode="General">
                  <c:v>2.5190399999999999</c:v>
                </c:pt>
                <c:pt idx="419" formatCode="General">
                  <c:v>2.5250499999999998</c:v>
                </c:pt>
                <c:pt idx="420" formatCode="General">
                  <c:v>2.5310600000000001</c:v>
                </c:pt>
                <c:pt idx="421" formatCode="General">
                  <c:v>2.5370699999999999</c:v>
                </c:pt>
                <c:pt idx="422" formatCode="General">
                  <c:v>2.5430899999999999</c:v>
                </c:pt>
                <c:pt idx="423" formatCode="General">
                  <c:v>2.5491000000000001</c:v>
                </c:pt>
                <c:pt idx="424" formatCode="General">
                  <c:v>2.55511</c:v>
                </c:pt>
                <c:pt idx="425" formatCode="General">
                  <c:v>2.5611199999999998</c:v>
                </c:pt>
                <c:pt idx="426" formatCode="General">
                  <c:v>2.5671300000000001</c:v>
                </c:pt>
                <c:pt idx="427" formatCode="General">
                  <c:v>2.57315</c:v>
                </c:pt>
                <c:pt idx="428" formatCode="General">
                  <c:v>2.5791599999999999</c:v>
                </c:pt>
                <c:pt idx="429" formatCode="General">
                  <c:v>2.5851700000000002</c:v>
                </c:pt>
                <c:pt idx="430" formatCode="General">
                  <c:v>2.59118</c:v>
                </c:pt>
                <c:pt idx="431" formatCode="General">
                  <c:v>2.5971899999999999</c:v>
                </c:pt>
                <c:pt idx="432" formatCode="General">
                  <c:v>2.6032099999999998</c:v>
                </c:pt>
                <c:pt idx="433" formatCode="General">
                  <c:v>2.6092200000000001</c:v>
                </c:pt>
                <c:pt idx="434" formatCode="General">
                  <c:v>2.6152299999999999</c:v>
                </c:pt>
                <c:pt idx="435" formatCode="General">
                  <c:v>2.6212399999999998</c:v>
                </c:pt>
                <c:pt idx="436" formatCode="General">
                  <c:v>2.6272500000000001</c:v>
                </c:pt>
                <c:pt idx="437" formatCode="General">
                  <c:v>2.63327</c:v>
                </c:pt>
                <c:pt idx="438" formatCode="General">
                  <c:v>2.6392799999999998</c:v>
                </c:pt>
                <c:pt idx="439" formatCode="General">
                  <c:v>2.6452900000000001</c:v>
                </c:pt>
                <c:pt idx="440" formatCode="General">
                  <c:v>2.6513</c:v>
                </c:pt>
                <c:pt idx="441" formatCode="General">
                  <c:v>2.6573099999999998</c:v>
                </c:pt>
                <c:pt idx="442" formatCode="General">
                  <c:v>2.6633300000000002</c:v>
                </c:pt>
                <c:pt idx="443" formatCode="General">
                  <c:v>2.66934</c:v>
                </c:pt>
                <c:pt idx="444" formatCode="General">
                  <c:v>2.6753499999999999</c:v>
                </c:pt>
                <c:pt idx="445" formatCode="General">
                  <c:v>2.6813600000000002</c:v>
                </c:pt>
                <c:pt idx="446" formatCode="General">
                  <c:v>2.68737</c:v>
                </c:pt>
                <c:pt idx="447" formatCode="General">
                  <c:v>2.69339</c:v>
                </c:pt>
                <c:pt idx="448" formatCode="General">
                  <c:v>2.6993999999999998</c:v>
                </c:pt>
                <c:pt idx="449" formatCode="General">
                  <c:v>2.7054100000000001</c:v>
                </c:pt>
                <c:pt idx="450" formatCode="General">
                  <c:v>2.7114199999999999</c:v>
                </c:pt>
                <c:pt idx="451" formatCode="General">
                  <c:v>2.7174299999999998</c:v>
                </c:pt>
                <c:pt idx="452" formatCode="General">
                  <c:v>2.7234500000000001</c:v>
                </c:pt>
                <c:pt idx="453" formatCode="General">
                  <c:v>2.72946</c:v>
                </c:pt>
                <c:pt idx="454" formatCode="General">
                  <c:v>2.7354699999999998</c:v>
                </c:pt>
                <c:pt idx="455" formatCode="General">
                  <c:v>2.7414800000000001</c:v>
                </c:pt>
                <c:pt idx="456" formatCode="General">
                  <c:v>2.74749</c:v>
                </c:pt>
                <c:pt idx="457" formatCode="General">
                  <c:v>2.7535099999999999</c:v>
                </c:pt>
                <c:pt idx="458" formatCode="General">
                  <c:v>2.7595200000000002</c:v>
                </c:pt>
                <c:pt idx="459" formatCode="General">
                  <c:v>2.76553</c:v>
                </c:pt>
                <c:pt idx="460" formatCode="General">
                  <c:v>2.7715399999999999</c:v>
                </c:pt>
                <c:pt idx="461" formatCode="General">
                  <c:v>2.7775500000000002</c:v>
                </c:pt>
                <c:pt idx="462" formatCode="General">
                  <c:v>2.7835700000000001</c:v>
                </c:pt>
                <c:pt idx="463" formatCode="General">
                  <c:v>2.7895799999999999</c:v>
                </c:pt>
                <c:pt idx="464" formatCode="General">
                  <c:v>2.7955899999999998</c:v>
                </c:pt>
                <c:pt idx="465" formatCode="General">
                  <c:v>2.8016000000000001</c:v>
                </c:pt>
                <c:pt idx="466" formatCode="General">
                  <c:v>2.80762</c:v>
                </c:pt>
                <c:pt idx="467" formatCode="General">
                  <c:v>2.8136299999999999</c:v>
                </c:pt>
                <c:pt idx="468" formatCode="General">
                  <c:v>2.8196400000000001</c:v>
                </c:pt>
                <c:pt idx="469" formatCode="General">
                  <c:v>2.82565</c:v>
                </c:pt>
                <c:pt idx="470" formatCode="General">
                  <c:v>2.8316599999999998</c:v>
                </c:pt>
                <c:pt idx="471" formatCode="General">
                  <c:v>2.8376800000000002</c:v>
                </c:pt>
                <c:pt idx="472" formatCode="General">
                  <c:v>2.8436900000000001</c:v>
                </c:pt>
                <c:pt idx="473" formatCode="General">
                  <c:v>2.8496999999999999</c:v>
                </c:pt>
                <c:pt idx="474" formatCode="General">
                  <c:v>2.8557100000000002</c:v>
                </c:pt>
                <c:pt idx="475" formatCode="General">
                  <c:v>2.86172</c:v>
                </c:pt>
                <c:pt idx="476" formatCode="General">
                  <c:v>2.86774</c:v>
                </c:pt>
                <c:pt idx="477" formatCode="General">
                  <c:v>2.8737499999999998</c:v>
                </c:pt>
                <c:pt idx="478" formatCode="General">
                  <c:v>2.8797600000000001</c:v>
                </c:pt>
                <c:pt idx="479" formatCode="General">
                  <c:v>2.8857699999999999</c:v>
                </c:pt>
                <c:pt idx="480" formatCode="General">
                  <c:v>2.8917799999999998</c:v>
                </c:pt>
                <c:pt idx="481" formatCode="General">
                  <c:v>2.8978000000000002</c:v>
                </c:pt>
                <c:pt idx="482" formatCode="General">
                  <c:v>2.90381</c:v>
                </c:pt>
                <c:pt idx="483" formatCode="General">
                  <c:v>2.9098199999999999</c:v>
                </c:pt>
                <c:pt idx="484" formatCode="General">
                  <c:v>2.9158300000000001</c:v>
                </c:pt>
                <c:pt idx="485" formatCode="General">
                  <c:v>2.92184</c:v>
                </c:pt>
                <c:pt idx="486" formatCode="General">
                  <c:v>2.9278599999999999</c:v>
                </c:pt>
                <c:pt idx="487" formatCode="General">
                  <c:v>2.9338700000000002</c:v>
                </c:pt>
                <c:pt idx="488" formatCode="General">
                  <c:v>2.93988</c:v>
                </c:pt>
                <c:pt idx="489" formatCode="General">
                  <c:v>2.9458899999999999</c:v>
                </c:pt>
                <c:pt idx="490" formatCode="General">
                  <c:v>2.9519000000000002</c:v>
                </c:pt>
                <c:pt idx="491" formatCode="General">
                  <c:v>2.9579200000000001</c:v>
                </c:pt>
                <c:pt idx="492" formatCode="General">
                  <c:v>2.96393</c:v>
                </c:pt>
                <c:pt idx="493" formatCode="General">
                  <c:v>2.9699399999999998</c:v>
                </c:pt>
                <c:pt idx="494" formatCode="General">
                  <c:v>2.9759500000000001</c:v>
                </c:pt>
                <c:pt idx="495" formatCode="General">
                  <c:v>2.9819599999999999</c:v>
                </c:pt>
                <c:pt idx="496" formatCode="General">
                  <c:v>2.9879799999999999</c:v>
                </c:pt>
                <c:pt idx="497" formatCode="General">
                  <c:v>2.9939900000000002</c:v>
                </c:pt>
                <c:pt idx="498" formatCode="General">
                  <c:v>3</c:v>
                </c:pt>
              </c:numCache>
            </c:numRef>
          </c:xVal>
          <c:yVal>
            <c:numRef>
              <c:f>Tool!$C$5:$C$503</c:f>
              <c:numCache>
                <c:formatCode>General</c:formatCode>
                <c:ptCount val="499"/>
                <c:pt idx="0">
                  <c:v>0.99672000000000005</c:v>
                </c:pt>
                <c:pt idx="1">
                  <c:v>0.993448</c:v>
                </c:pt>
                <c:pt idx="2">
                  <c:v>0.99018200000000001</c:v>
                </c:pt>
                <c:pt idx="3">
                  <c:v>0.98691899999999999</c:v>
                </c:pt>
                <c:pt idx="4">
                  <c:v>0.983657</c:v>
                </c:pt>
                <c:pt idx="5">
                  <c:v>0.98039299999999996</c:v>
                </c:pt>
                <c:pt idx="6">
                  <c:v>0.97712399999999999</c:v>
                </c:pt>
                <c:pt idx="7">
                  <c:v>0.97384899999999996</c:v>
                </c:pt>
                <c:pt idx="8">
                  <c:v>0.97056399999999998</c:v>
                </c:pt>
                <c:pt idx="9">
                  <c:v>0.96726599999999996</c:v>
                </c:pt>
                <c:pt idx="10">
                  <c:v>0.96395399999999998</c:v>
                </c:pt>
                <c:pt idx="11">
                  <c:v>0.96062400000000003</c:v>
                </c:pt>
                <c:pt idx="12">
                  <c:v>0.95727399999999996</c:v>
                </c:pt>
                <c:pt idx="13">
                  <c:v>0.95389999999999997</c:v>
                </c:pt>
                <c:pt idx="14">
                  <c:v>0.95049899999999998</c:v>
                </c:pt>
                <c:pt idx="15">
                  <c:v>0.94706900000000005</c:v>
                </c:pt>
                <c:pt idx="16">
                  <c:v>0.94360500000000003</c:v>
                </c:pt>
                <c:pt idx="17">
                  <c:v>0.94010499999999997</c:v>
                </c:pt>
                <c:pt idx="18">
                  <c:v>0.93656499999999998</c:v>
                </c:pt>
                <c:pt idx="19">
                  <c:v>0.93298000000000003</c:v>
                </c:pt>
                <c:pt idx="20">
                  <c:v>0.92934700000000003</c:v>
                </c:pt>
                <c:pt idx="21">
                  <c:v>0.92566199999999998</c:v>
                </c:pt>
                <c:pt idx="22">
                  <c:v>0.92191999999999996</c:v>
                </c:pt>
                <c:pt idx="23">
                  <c:v>0.91811500000000001</c:v>
                </c:pt>
                <c:pt idx="24">
                  <c:v>0.91424300000000003</c:v>
                </c:pt>
                <c:pt idx="25">
                  <c:v>0.91029800000000005</c:v>
                </c:pt>
                <c:pt idx="26">
                  <c:v>0.906273</c:v>
                </c:pt>
                <c:pt idx="27">
                  <c:v>0.90216200000000002</c:v>
                </c:pt>
                <c:pt idx="28">
                  <c:v>0.89795800000000003</c:v>
                </c:pt>
                <c:pt idx="29">
                  <c:v>0.89365300000000003</c:v>
                </c:pt>
                <c:pt idx="30">
                  <c:v>0.88923700000000006</c:v>
                </c:pt>
                <c:pt idx="31">
                  <c:v>0.88470199999999999</c:v>
                </c:pt>
                <c:pt idx="32">
                  <c:v>0.88003699999999996</c:v>
                </c:pt>
                <c:pt idx="33">
                  <c:v>0.87522999999999995</c:v>
                </c:pt>
                <c:pt idx="34">
                  <c:v>0.87026800000000004</c:v>
                </c:pt>
                <c:pt idx="35">
                  <c:v>0.86513700000000004</c:v>
                </c:pt>
                <c:pt idx="36">
                  <c:v>0.85982099999999995</c:v>
                </c:pt>
                <c:pt idx="37">
                  <c:v>0.85429999999999995</c:v>
                </c:pt>
                <c:pt idx="38">
                  <c:v>0.84855599999999998</c:v>
                </c:pt>
                <c:pt idx="39">
                  <c:v>0.84256299999999995</c:v>
                </c:pt>
                <c:pt idx="40">
                  <c:v>0.83629500000000001</c:v>
                </c:pt>
                <c:pt idx="41">
                  <c:v>0.82972199999999996</c:v>
                </c:pt>
                <c:pt idx="42">
                  <c:v>0.82280699999999996</c:v>
                </c:pt>
                <c:pt idx="43">
                  <c:v>0.81550800000000001</c:v>
                </c:pt>
                <c:pt idx="44">
                  <c:v>0.80777600000000005</c:v>
                </c:pt>
                <c:pt idx="45">
                  <c:v>0.79955399999999999</c:v>
                </c:pt>
                <c:pt idx="46">
                  <c:v>0.790771</c:v>
                </c:pt>
                <c:pt idx="47">
                  <c:v>0.78134400000000004</c:v>
                </c:pt>
                <c:pt idx="48">
                  <c:v>0.77117100000000005</c:v>
                </c:pt>
                <c:pt idx="49">
                  <c:v>0.76012599999999997</c:v>
                </c:pt>
                <c:pt idx="50">
                  <c:v>0.74805299999999997</c:v>
                </c:pt>
                <c:pt idx="51">
                  <c:v>0.73475299999999999</c:v>
                </c:pt>
                <c:pt idx="52">
                  <c:v>0.71997199999999995</c:v>
                </c:pt>
                <c:pt idx="53">
                  <c:v>0.70338000000000001</c:v>
                </c:pt>
                <c:pt idx="54">
                  <c:v>0.68453900000000001</c:v>
                </c:pt>
                <c:pt idx="55">
                  <c:v>0.66286500000000004</c:v>
                </c:pt>
                <c:pt idx="56">
                  <c:v>0.63756699999999999</c:v>
                </c:pt>
                <c:pt idx="57">
                  <c:v>0.60758900000000005</c:v>
                </c:pt>
                <c:pt idx="58">
                  <c:v>0.57159199999999999</c:v>
                </c:pt>
                <c:pt idx="59">
                  <c:v>0.52814099999999997</c:v>
                </c:pt>
                <c:pt idx="60">
                  <c:v>0.476545</c:v>
                </c:pt>
                <c:pt idx="61">
                  <c:v>0.41864000000000001</c:v>
                </c:pt>
                <c:pt idx="62">
                  <c:v>0.35982199999999998</c:v>
                </c:pt>
                <c:pt idx="63">
                  <c:v>0.30621199999999998</c:v>
                </c:pt>
                <c:pt idx="64">
                  <c:v>0.26087100000000002</c:v>
                </c:pt>
                <c:pt idx="65">
                  <c:v>0.22378000000000001</c:v>
                </c:pt>
                <c:pt idx="66">
                  <c:v>0.19364899999999999</c:v>
                </c:pt>
                <c:pt idx="67">
                  <c:v>0.169044</c:v>
                </c:pt>
                <c:pt idx="68">
                  <c:v>0.148757</c:v>
                </c:pt>
                <c:pt idx="69">
                  <c:v>0.13184899999999999</c:v>
                </c:pt>
                <c:pt idx="70">
                  <c:v>0.11761199999999999</c:v>
                </c:pt>
                <c:pt idx="71">
                  <c:v>0.105506</c:v>
                </c:pt>
                <c:pt idx="72" formatCode="0.00E+00">
                  <c:v>9.5124630000000002E-2</c:v>
                </c:pt>
                <c:pt idx="73" formatCode="0.00E+00">
                  <c:v>8.6151900000000003E-2</c:v>
                </c:pt>
                <c:pt idx="74" formatCode="0.00E+00">
                  <c:v>7.8341140000000004E-2</c:v>
                </c:pt>
                <c:pt idx="75" formatCode="0.00E+00">
                  <c:v>7.1498249999999999E-2</c:v>
                </c:pt>
                <c:pt idx="76" formatCode="0.00E+00">
                  <c:v>6.5472849999999999E-2</c:v>
                </c:pt>
                <c:pt idx="77" formatCode="0.00E+00">
                  <c:v>6.0137400000000001E-2</c:v>
                </c:pt>
                <c:pt idx="78" formatCode="0.00E+00">
                  <c:v>5.5385660000000003E-2</c:v>
                </c:pt>
                <c:pt idx="79" formatCode="0.00E+00">
                  <c:v>5.1147860000000003E-2</c:v>
                </c:pt>
                <c:pt idx="80" formatCode="0.00E+00">
                  <c:v>4.7343799999999998E-2</c:v>
                </c:pt>
                <c:pt idx="81" formatCode="0.00E+00">
                  <c:v>4.3912E-2</c:v>
                </c:pt>
                <c:pt idx="82" formatCode="0.00E+00">
                  <c:v>4.0829320000000002E-2</c:v>
                </c:pt>
                <c:pt idx="83" formatCode="0.00E+00">
                  <c:v>3.801711E-2</c:v>
                </c:pt>
                <c:pt idx="84" formatCode="0.00E+00">
                  <c:v>3.5473339999999999E-2</c:v>
                </c:pt>
                <c:pt idx="85" formatCode="0.00E+00">
                  <c:v>3.3160240000000001E-2</c:v>
                </c:pt>
                <c:pt idx="86" formatCode="0.00E+00">
                  <c:v>3.1024510000000002E-2</c:v>
                </c:pt>
                <c:pt idx="87" formatCode="0.00E+00">
                  <c:v>2.9107830000000001E-2</c:v>
                </c:pt>
                <c:pt idx="88" formatCode="0.00E+00">
                  <c:v>2.7302730000000001E-2</c:v>
                </c:pt>
                <c:pt idx="89" formatCode="0.00E+00">
                  <c:v>2.5687939999999999E-2</c:v>
                </c:pt>
                <c:pt idx="90" formatCode="0.00E+00">
                  <c:v>2.4166320000000002E-2</c:v>
                </c:pt>
                <c:pt idx="91" formatCode="0.00E+00">
                  <c:v>2.2777990000000001E-2</c:v>
                </c:pt>
                <c:pt idx="92" formatCode="0.00E+00">
                  <c:v>2.150067E-2</c:v>
                </c:pt>
                <c:pt idx="93" formatCode="0.00E+00">
                  <c:v>2.028758E-2</c:v>
                </c:pt>
                <c:pt idx="94" formatCode="0.00E+00">
                  <c:v>1.9215489999999998E-2</c:v>
                </c:pt>
                <c:pt idx="95" formatCode="0.00E+00">
                  <c:v>1.8145890000000001E-2</c:v>
                </c:pt>
                <c:pt idx="96" formatCode="0.00E+00">
                  <c:v>1.724154E-2</c:v>
                </c:pt>
                <c:pt idx="97" formatCode="0.00E+00">
                  <c:v>1.6294960000000001E-2</c:v>
                </c:pt>
                <c:pt idx="98" formatCode="0.00E+00">
                  <c:v>1.5525850000000001E-2</c:v>
                </c:pt>
                <c:pt idx="99" formatCode="0.00E+00">
                  <c:v>1.4686899999999999E-2</c:v>
                </c:pt>
                <c:pt idx="100" formatCode="0.00E+00">
                  <c:v>1.402725E-2</c:v>
                </c:pt>
                <c:pt idx="101" formatCode="0.00E+00">
                  <c:v>1.328228E-2</c:v>
                </c:pt>
                <c:pt idx="102" formatCode="0.00E+00">
                  <c:v>1.2712940000000001E-2</c:v>
                </c:pt>
                <c:pt idx="103" formatCode="0.00E+00">
                  <c:v>1.20488E-2</c:v>
                </c:pt>
                <c:pt idx="104" formatCode="0.00E+00">
                  <c:v>1.1556210000000001E-2</c:v>
                </c:pt>
                <c:pt idx="105" formatCode="0.00E+00">
                  <c:v>1.09601E-2</c:v>
                </c:pt>
                <c:pt idx="106" formatCode="0.00E+00">
                  <c:v>1.053492E-2</c:v>
                </c:pt>
                <c:pt idx="107" formatCode="0.00E+00">
                  <c:v>9.9946859999999992E-3</c:v>
                </c:pt>
                <c:pt idx="108" formatCode="0.00E+00">
                  <c:v>9.630497E-3</c:v>
                </c:pt>
                <c:pt idx="109" formatCode="0.00E+00">
                  <c:v>9.1349770000000007E-3</c:v>
                </c:pt>
                <c:pt idx="110" formatCode="0.00E+00">
                  <c:v>8.8270919999999999E-3</c:v>
                </c:pt>
                <c:pt idx="111" formatCode="0.00E+00">
                  <c:v>8.366699E-3</c:v>
                </c:pt>
                <c:pt idx="112" formatCode="0.00E+00">
                  <c:v>8.110964E-3</c:v>
                </c:pt>
                <c:pt idx="113" formatCode="0.00E+00">
                  <c:v>7.6783499999999996E-3</c:v>
                </c:pt>
                <c:pt idx="114" formatCode="0.00E+00">
                  <c:v>7.4699659999999998E-3</c:v>
                </c:pt>
                <c:pt idx="115" formatCode="0.00E+00">
                  <c:v>7.0608679999999997E-3</c:v>
                </c:pt>
                <c:pt idx="116" formatCode="0.00E+00">
                  <c:v>6.8931069999999999E-3</c:v>
                </c:pt>
                <c:pt idx="117" formatCode="0.00E+00">
                  <c:v>6.5072109999999997E-3</c:v>
                </c:pt>
                <c:pt idx="118" formatCode="0.00E+00">
                  <c:v>6.3704190000000004E-3</c:v>
                </c:pt>
                <c:pt idx="119" formatCode="0.00E+00">
                  <c:v>6.0119400000000003E-3</c:v>
                </c:pt>
                <c:pt idx="120" formatCode="0.00E+00">
                  <c:v>5.8929630000000002E-3</c:v>
                </c:pt>
                <c:pt idx="121" formatCode="0.00E+00">
                  <c:v>5.5705329999999999E-3</c:v>
                </c:pt>
                <c:pt idx="122" formatCode="0.00E+00">
                  <c:v>5.4532010000000004E-3</c:v>
                </c:pt>
                <c:pt idx="123" formatCode="0.00E+00">
                  <c:v>5.178635E-3</c:v>
                </c:pt>
                <c:pt idx="124" formatCode="0.00E+00">
                  <c:v>5.045529E-3</c:v>
                </c:pt>
                <c:pt idx="125" formatCode="0.00E+00">
                  <c:v>4.8311200000000004E-3</c:v>
                </c:pt>
                <c:pt idx="126" formatCode="0.00E+00">
                  <c:v>4.66688E-3</c:v>
                </c:pt>
                <c:pt idx="127" formatCode="0.00E+00">
                  <c:v>4.5213809999999997E-3</c:v>
                </c:pt>
                <c:pt idx="128" formatCode="0.00E+00">
                  <c:v>4.3170680000000003E-3</c:v>
                </c:pt>
                <c:pt idx="129" formatCode="0.00E+00">
                  <c:v>4.241018E-3</c:v>
                </c:pt>
                <c:pt idx="130" formatCode="0.00E+00">
                  <c:v>3.998499E-3</c:v>
                </c:pt>
                <c:pt idx="131" formatCode="0.00E+00">
                  <c:v>3.9804549999999999E-3</c:v>
                </c:pt>
                <c:pt idx="132" formatCode="0.00E+00">
                  <c:v>3.715019E-3</c:v>
                </c:pt>
                <c:pt idx="133" formatCode="0.00E+00">
                  <c:v>3.7303649999999998E-3</c:v>
                </c:pt>
                <c:pt idx="134" formatCode="0.00E+00">
                  <c:v>3.4698329999999999E-3</c:v>
                </c:pt>
                <c:pt idx="135" formatCode="0.00E+00">
                  <c:v>3.4839599999999999E-3</c:v>
                </c:pt>
                <c:pt idx="136" formatCode="0.00E+00">
                  <c:v>3.2630630000000001E-3</c:v>
                </c:pt>
                <c:pt idx="137" formatCode="0.00E+00">
                  <c:v>3.2392779999999999E-3</c:v>
                </c:pt>
                <c:pt idx="138" formatCode="0.00E+00">
                  <c:v>3.0896299999999999E-3</c:v>
                </c:pt>
                <c:pt idx="139" formatCode="0.00E+00">
                  <c:v>3.0005380000000001E-3</c:v>
                </c:pt>
                <c:pt idx="140" formatCode="0.00E+00">
                  <c:v>2.9387950000000001E-3</c:v>
                </c:pt>
                <c:pt idx="141" formatCode="0.00E+00">
                  <c:v>2.7774570000000001E-3</c:v>
                </c:pt>
                <c:pt idx="142" formatCode="0.00E+00">
                  <c:v>2.7960120000000001E-3</c:v>
                </c:pt>
                <c:pt idx="143" formatCode="0.00E+00">
                  <c:v>2.5821099999999999E-3</c:v>
                </c:pt>
                <c:pt idx="144" formatCode="0.00E+00">
                  <c:v>2.6470719999999999E-3</c:v>
                </c:pt>
                <c:pt idx="145" formatCode="0.00E+00">
                  <c:v>2.423878E-3</c:v>
                </c:pt>
                <c:pt idx="146" formatCode="0.00E+00">
                  <c:v>2.483514E-3</c:v>
                </c:pt>
                <c:pt idx="147" formatCode="0.00E+00">
                  <c:v>2.304258E-3</c:v>
                </c:pt>
                <c:pt idx="148" formatCode="0.00E+00">
                  <c:v>2.3068440000000002E-3</c:v>
                </c:pt>
                <c:pt idx="149" formatCode="0.00E+00">
                  <c:v>2.2140800000000002E-3</c:v>
                </c:pt>
                <c:pt idx="150" formatCode="0.00E+00">
                  <c:v>2.129297E-3</c:v>
                </c:pt>
                <c:pt idx="151" formatCode="0.00E+00">
                  <c:v>2.1351439999999998E-3</c:v>
                </c:pt>
                <c:pt idx="152" formatCode="0.00E+00">
                  <c:v>1.9696449999999999E-3</c:v>
                </c:pt>
                <c:pt idx="153" formatCode="0.00E+00">
                  <c:v>2.0466429999999999E-3</c:v>
                </c:pt>
                <c:pt idx="154" formatCode="0.00E+00">
                  <c:v>1.845029E-3</c:v>
                </c:pt>
                <c:pt idx="155" formatCode="0.00E+00">
                  <c:v>1.9342560000000001E-3</c:v>
                </c:pt>
                <c:pt idx="156" formatCode="0.00E+00">
                  <c:v>1.761997E-3</c:v>
                </c:pt>
                <c:pt idx="157" formatCode="0.00E+00">
                  <c:v>1.797678E-3</c:v>
                </c:pt>
                <c:pt idx="158" formatCode="0.00E+00">
                  <c:v>1.711427E-3</c:v>
                </c:pt>
                <c:pt idx="159" formatCode="0.00E+00">
                  <c:v>1.6522609999999999E-3</c:v>
                </c:pt>
                <c:pt idx="160" formatCode="0.00E+00">
                  <c:v>1.6709030000000001E-3</c:v>
                </c:pt>
                <c:pt idx="161" formatCode="0.00E+00">
                  <c:v>1.5226040000000001E-3</c:v>
                </c:pt>
                <c:pt idx="162" formatCode="0.00E+00">
                  <c:v>1.614615E-3</c:v>
                </c:pt>
                <c:pt idx="163" formatCode="0.00E+00">
                  <c:v>1.430225E-3</c:v>
                </c:pt>
                <c:pt idx="164" formatCode="0.00E+00">
                  <c:v>1.5265389999999999E-3</c:v>
                </c:pt>
                <c:pt idx="165" formatCode="0.00E+00">
                  <c:v>1.3812760000000001E-3</c:v>
                </c:pt>
                <c:pt idx="166" formatCode="0.00E+00">
                  <c:v>1.4099360000000001E-3</c:v>
                </c:pt>
                <c:pt idx="167" formatCode="0.00E+00">
                  <c:v>1.3614009999999999E-3</c:v>
                </c:pt>
                <c:pt idx="168" formatCode="0.00E+00">
                  <c:v>1.286988E-3</c:v>
                </c:pt>
                <c:pt idx="169" formatCode="0.00E+00">
                  <c:v>1.341964E-3</c:v>
                </c:pt>
                <c:pt idx="170" formatCode="0.00E+00">
                  <c:v>1.1873400000000001E-3</c:v>
                </c:pt>
                <c:pt idx="171" formatCode="0.00E+00">
                  <c:v>1.29531E-3</c:v>
                </c:pt>
                <c:pt idx="172" formatCode="0.00E+00">
                  <c:v>1.1310459999999999E-3</c:v>
                </c:pt>
                <c:pt idx="173" formatCode="0.00E+00">
                  <c:v>1.2110650000000001E-3</c:v>
                </c:pt>
                <c:pt idx="174" formatCode="0.00E+00">
                  <c:v>1.1156779999999999E-3</c:v>
                </c:pt>
                <c:pt idx="175" formatCode="0.00E+00">
                  <c:v>1.1033219999999999E-3</c:v>
                </c:pt>
                <c:pt idx="176" formatCode="0.00E+00">
                  <c:v>1.1162139999999999E-3</c:v>
                </c:pt>
                <c:pt idx="177" formatCode="0.00E+00">
                  <c:v>1.003288E-3</c:v>
                </c:pt>
                <c:pt idx="178" formatCode="0.00E+00">
                  <c:v>1.099116E-3</c:v>
                </c:pt>
                <c:pt idx="179" formatCode="0.00E+00">
                  <c:v>9.4045789999999999E-4</c:v>
                </c:pt>
                <c:pt idx="180" formatCode="0.00E+00">
                  <c:v>1.0429739999999999E-3</c:v>
                </c:pt>
                <c:pt idx="181" formatCode="0.00E+00">
                  <c:v>9.2353930000000002E-4</c:v>
                </c:pt>
                <c:pt idx="182" formatCode="0.00E+00">
                  <c:v>9.5271229999999998E-4</c:v>
                </c:pt>
                <c:pt idx="183" formatCode="0.00E+00">
                  <c:v>9.3366629999999998E-4</c:v>
                </c:pt>
                <c:pt idx="184" formatCode="0.00E+00">
                  <c:v>8.5741479999999998E-4</c:v>
                </c:pt>
                <c:pt idx="185" formatCode="0.00E+00">
                  <c:v>9.3557609999999995E-4</c:v>
                </c:pt>
                <c:pt idx="186" formatCode="0.00E+00">
                  <c:v>7.9181710000000003E-4</c:v>
                </c:pt>
                <c:pt idx="187" formatCode="0.00E+00">
                  <c:v>9.0047550000000004E-4</c:v>
                </c:pt>
                <c:pt idx="188" formatCode="0.00E+00">
                  <c:v>7.7296690000000002E-4</c:v>
                </c:pt>
                <c:pt idx="189" formatCode="0.00E+00">
                  <c:v>8.2570240000000002E-4</c:v>
                </c:pt>
                <c:pt idx="190" formatCode="0.00E+00">
                  <c:v>7.8781789999999999E-4</c:v>
                </c:pt>
                <c:pt idx="191" formatCode="0.00E+00">
                  <c:v>7.3729850000000001E-4</c:v>
                </c:pt>
                <c:pt idx="192" formatCode="0.00E+00">
                  <c:v>8.0129919999999996E-4</c:v>
                </c:pt>
                <c:pt idx="193" formatCode="0.00E+00">
                  <c:v>6.7254510000000001E-4</c:v>
                </c:pt>
                <c:pt idx="194" formatCode="0.00E+00">
                  <c:v>7.8027589999999996E-4</c:v>
                </c:pt>
                <c:pt idx="195" formatCode="0.00E+00">
                  <c:v>6.5373579999999996E-4</c:v>
                </c:pt>
                <c:pt idx="196" formatCode="0.00E+00">
                  <c:v>7.1713300000000001E-4</c:v>
                </c:pt>
                <c:pt idx="197" formatCode="0.00E+00">
                  <c:v>6.7176759999999997E-4</c:v>
                </c:pt>
                <c:pt idx="198" formatCode="0.00E+00">
                  <c:v>6.3571660000000002E-4</c:v>
                </c:pt>
                <c:pt idx="199" formatCode="0.00E+00">
                  <c:v>6.92006E-4</c:v>
                </c:pt>
                <c:pt idx="200" formatCode="0.00E+00">
                  <c:v>5.7447840000000004E-4</c:v>
                </c:pt>
                <c:pt idx="201" formatCode="0.00E+00">
                  <c:v>6.7919659999999995E-4</c:v>
                </c:pt>
                <c:pt idx="202" formatCode="0.00E+00">
                  <c:v>5.5825359999999997E-4</c:v>
                </c:pt>
                <c:pt idx="203" formatCode="0.00E+00">
                  <c:v>6.2352670000000003E-4</c:v>
                </c:pt>
                <c:pt idx="204" formatCode="0.00E+00">
                  <c:v>5.7945040000000005E-4</c:v>
                </c:pt>
                <c:pt idx="205" formatCode="0.00E+00">
                  <c:v>5.482811E-4</c:v>
                </c:pt>
                <c:pt idx="206" formatCode="0.00E+00">
                  <c:v>6.0328539999999998E-4</c:v>
                </c:pt>
                <c:pt idx="207" formatCode="0.00E+00">
                  <c:v>4.925299E-4</c:v>
                </c:pt>
                <c:pt idx="208" formatCode="0.00E+00">
                  <c:v>5.939497E-4</c:v>
                </c:pt>
                <c:pt idx="209" formatCode="0.00E+00">
                  <c:v>4.8129299999999999E-4</c:v>
                </c:pt>
                <c:pt idx="210" formatCode="0.00E+00">
                  <c:v>5.4208860000000002E-4</c:v>
                </c:pt>
                <c:pt idx="211" formatCode="0.00E+00">
                  <c:v>5.0602609999999995E-4</c:v>
                </c:pt>
                <c:pt idx="212" formatCode="0.00E+00">
                  <c:v>4.7220340000000001E-4</c:v>
                </c:pt>
                <c:pt idx="213" formatCode="0.00E+00">
                  <c:v>5.3100309999999998E-4</c:v>
                </c:pt>
                <c:pt idx="214" formatCode="0.00E+00">
                  <c:v>4.2360439999999998E-4</c:v>
                </c:pt>
                <c:pt idx="215" formatCode="0.00E+00">
                  <c:v>5.212986E-4</c:v>
                </c:pt>
                <c:pt idx="216" formatCode="0.00E+00">
                  <c:v>4.1932999999999998E-4</c:v>
                </c:pt>
                <c:pt idx="217" formatCode="0.00E+00">
                  <c:v>4.7044449999999999E-4</c:v>
                </c:pt>
                <c:pt idx="218" formatCode="0.00E+00">
                  <c:v>4.4765650000000001E-4</c:v>
                </c:pt>
                <c:pt idx="219" formatCode="0.00E+00">
                  <c:v>4.05666E-4</c:v>
                </c:pt>
                <c:pt idx="220" formatCode="0.00E+00">
                  <c:v>4.714513E-4</c:v>
                </c:pt>
                <c:pt idx="221" formatCode="0.00E+00">
                  <c:v>3.6586730000000002E-4</c:v>
                </c:pt>
                <c:pt idx="222" formatCode="0.00E+00">
                  <c:v>4.5823720000000002E-4</c:v>
                </c:pt>
                <c:pt idx="223" formatCode="0.00E+00">
                  <c:v>3.6992060000000002E-4</c:v>
                </c:pt>
                <c:pt idx="224" formatCode="0.00E+00">
                  <c:v>4.0668619999999998E-4</c:v>
                </c:pt>
                <c:pt idx="225" formatCode="0.00E+00">
                  <c:v>4.0117730000000001E-4</c:v>
                </c:pt>
                <c:pt idx="226" formatCode="0.00E+00">
                  <c:v>3.4760789999999998E-4</c:v>
                </c:pt>
                <c:pt idx="227" formatCode="0.00E+00">
                  <c:v>4.2128169999999999E-4</c:v>
                </c:pt>
                <c:pt idx="228" formatCode="0.00E+00">
                  <c:v>3.182692E-4</c:v>
                </c:pt>
                <c:pt idx="229" formatCode="0.00E+00">
                  <c:v>4.0216980000000002E-4</c:v>
                </c:pt>
                <c:pt idx="230" formatCode="0.00E+00">
                  <c:v>3.312101E-4</c:v>
                </c:pt>
                <c:pt idx="231" formatCode="0.00E+00">
                  <c:v>3.494735E-4</c:v>
                </c:pt>
                <c:pt idx="232" formatCode="0.00E+00">
                  <c:v>3.6378639999999998E-4</c:v>
                </c:pt>
                <c:pt idx="233" formatCode="0.00E+00">
                  <c:v>2.975753E-4</c:v>
                </c:pt>
                <c:pt idx="234" formatCode="0.00E+00">
                  <c:v>3.7754120000000002E-4</c:v>
                </c:pt>
                <c:pt idx="235" formatCode="0.00E+00">
                  <c:v>2.8017869999999998E-4</c:v>
                </c:pt>
                <c:pt idx="236" formatCode="0.00E+00">
                  <c:v>3.510543E-4</c:v>
                </c:pt>
                <c:pt idx="237" formatCode="0.00E+00">
                  <c:v>3.0148950000000001E-4</c:v>
                </c:pt>
                <c:pt idx="238" formatCode="0.00E+00">
                  <c:v>2.9813080000000002E-4</c:v>
                </c:pt>
                <c:pt idx="239" formatCode="0.00E+00">
                  <c:v>3.3281860000000001E-4</c:v>
                </c:pt>
                <c:pt idx="240" formatCode="0.00E+00">
                  <c:v>2.5557889999999999E-4</c:v>
                </c:pt>
                <c:pt idx="241" formatCode="0.00E+00">
                  <c:v>3.3767120000000001E-4</c:v>
                </c:pt>
                <c:pt idx="242" formatCode="0.00E+00">
                  <c:v>2.5103780000000002E-4</c:v>
                </c:pt>
                <c:pt idx="243" formatCode="0.00E+00">
                  <c:v>3.0356440000000001E-4</c:v>
                </c:pt>
                <c:pt idx="244" formatCode="0.00E+00">
                  <c:v>2.7892020000000001E-4</c:v>
                </c:pt>
                <c:pt idx="245" formatCode="0.00E+00">
                  <c:v>2.526626E-4</c:v>
                </c:pt>
                <c:pt idx="246" formatCode="0.00E+00">
                  <c:v>3.0567590000000003E-4</c:v>
                </c:pt>
                <c:pt idx="247" formatCode="0.00E+00">
                  <c:v>2.2188120000000001E-4</c:v>
                </c:pt>
                <c:pt idx="248" formatCode="0.00E+00">
                  <c:v>2.9967470000000001E-4</c:v>
                </c:pt>
                <c:pt idx="249" formatCode="0.00E+00">
                  <c:v>2.3004460000000001E-4</c:v>
                </c:pt>
                <c:pt idx="250" formatCode="0.00E+00">
                  <c:v>2.5922160000000001E-4</c:v>
                </c:pt>
                <c:pt idx="251" formatCode="0.00E+00">
                  <c:v>2.6134699999999999E-4</c:v>
                </c:pt>
                <c:pt idx="252" formatCode="0.00E+00">
                  <c:v>2.136614E-4</c:v>
                </c:pt>
                <c:pt idx="253" formatCode="0.00E+00">
                  <c:v>2.79933E-4</c:v>
                </c:pt>
                <c:pt idx="254" formatCode="0.00E+00">
                  <c:v>1.9667369999999999E-4</c:v>
                </c:pt>
                <c:pt idx="255" formatCode="0.00E+00">
                  <c:v>2.6232689999999999E-4</c:v>
                </c:pt>
                <c:pt idx="256" formatCode="0.00E+00">
                  <c:v>2.1588219999999999E-4</c:v>
                </c:pt>
                <c:pt idx="257" formatCode="0.00E+00">
                  <c:v>2.1842610000000001E-4</c:v>
                </c:pt>
                <c:pt idx="258" formatCode="0.00E+00">
                  <c:v>2.4632279999999999E-4</c:v>
                </c:pt>
                <c:pt idx="259" formatCode="0.00E+00">
                  <c:v>1.820363E-4</c:v>
                </c:pt>
                <c:pt idx="260" formatCode="0.00E+00">
                  <c:v>2.5359150000000001E-4</c:v>
                </c:pt>
                <c:pt idx="261" formatCode="0.00E+00">
                  <c:v>1.797146E-4</c:v>
                </c:pt>
                <c:pt idx="262" formatCode="0.00E+00">
                  <c:v>2.25367E-4</c:v>
                </c:pt>
                <c:pt idx="263" formatCode="0.00E+00">
                  <c:v>2.065851E-4</c:v>
                </c:pt>
                <c:pt idx="264" formatCode="0.00E+00">
                  <c:v>1.8233609999999999E-4</c:v>
                </c:pt>
                <c:pt idx="265" formatCode="0.00E+00">
                  <c:v>2.3131709999999999E-4</c:v>
                </c:pt>
                <c:pt idx="266" formatCode="0.00E+00">
                  <c:v>1.5861759999999999E-4</c:v>
                </c:pt>
                <c:pt idx="267" formatCode="0.00E+00">
                  <c:v>2.2542109999999999E-4</c:v>
                </c:pt>
                <c:pt idx="268" formatCode="0.00E+00">
                  <c:v>1.7000380000000001E-4</c:v>
                </c:pt>
                <c:pt idx="269" formatCode="0.00E+00">
                  <c:v>1.8959160000000001E-4</c:v>
                </c:pt>
                <c:pt idx="270" formatCode="0.00E+00">
                  <c:v>1.995965E-4</c:v>
                </c:pt>
                <c:pt idx="271" formatCode="0.00E+00">
                  <c:v>1.5252859999999999E-4</c:v>
                </c:pt>
                <c:pt idx="272" formatCode="0.00E+00">
                  <c:v>2.1411330000000001E-4</c:v>
                </c:pt>
                <c:pt idx="273" formatCode="0.00E+00">
                  <c:v>1.436748E-4</c:v>
                </c:pt>
                <c:pt idx="274" formatCode="0.00E+00">
                  <c:v>1.9528629999999999E-4</c:v>
                </c:pt>
                <c:pt idx="275" formatCode="0.00E+00">
                  <c:v>1.656021E-4</c:v>
                </c:pt>
                <c:pt idx="276" formatCode="0.00E+00">
                  <c:v>1.567219E-4</c:v>
                </c:pt>
                <c:pt idx="277" formatCode="0.00E+00">
                  <c:v>1.9206900000000001E-4</c:v>
                </c:pt>
                <c:pt idx="278" formatCode="0.00E+00">
                  <c:v>1.3049519999999999E-4</c:v>
                </c:pt>
                <c:pt idx="279" formatCode="0.00E+00">
                  <c:v>1.933192E-4</c:v>
                </c:pt>
                <c:pt idx="280" formatCode="0.00E+00">
                  <c:v>1.3647989999999999E-4</c:v>
                </c:pt>
                <c:pt idx="281" formatCode="0.00E+00">
                  <c:v>1.6430350000000001E-4</c:v>
                </c:pt>
                <c:pt idx="282" formatCode="0.00E+00">
                  <c:v>1.6372040000000001E-4</c:v>
                </c:pt>
                <c:pt idx="283" formatCode="0.00E+00">
                  <c:v>1.290071E-4</c:v>
                </c:pt>
                <c:pt idx="284" formatCode="0.00E+00">
                  <c:v>1.8143710000000001E-4</c:v>
                </c:pt>
                <c:pt idx="285" formatCode="0.00E+00">
                  <c:v>1.170132E-4</c:v>
                </c:pt>
                <c:pt idx="286" formatCode="0.00E+00">
                  <c:v>1.688064E-4</c:v>
                </c:pt>
                <c:pt idx="287" formatCode="0.00E+00">
                  <c:v>1.3509319999999999E-4</c:v>
                </c:pt>
                <c:pt idx="288" formatCode="0.00E+00">
                  <c:v>1.3469919999999999E-4</c:v>
                </c:pt>
                <c:pt idx="289" formatCode="0.00E+00">
                  <c:v>1.6114379999999999E-4</c:v>
                </c:pt>
                <c:pt idx="290" formatCode="0.00E+00">
                  <c:v>1.085624E-4</c:v>
                </c:pt>
                <c:pt idx="291" formatCode="0.00E+00">
                  <c:v>1.660523E-4</c:v>
                </c:pt>
                <c:pt idx="292" formatCode="0.00E+00">
                  <c:v>1.116116E-4</c:v>
                </c:pt>
                <c:pt idx="293" formatCode="0.00E+00">
                  <c:v>1.4192520000000001E-4</c:v>
                </c:pt>
                <c:pt idx="294" formatCode="0.00E+00">
                  <c:v>1.3647290000000001E-4</c:v>
                </c:pt>
                <c:pt idx="295" formatCode="0.00E+00">
                  <c:v>1.0930240000000001E-4</c:v>
                </c:pt>
                <c:pt idx="296" formatCode="0.00E+00">
                  <c:v>1.5491999999999999E-4</c:v>
                </c:pt>
                <c:pt idx="297" formatCode="0.00E+00">
                  <c:v>9.6614350000000004E-5</c:v>
                </c:pt>
                <c:pt idx="298" formatCode="0.00E+00">
                  <c:v>1.45754E-4</c:v>
                </c:pt>
                <c:pt idx="299" formatCode="0.00E+00">
                  <c:v>1.12317E-4</c:v>
                </c:pt>
                <c:pt idx="300" formatCode="0.00E+00">
                  <c:v>1.1533229999999999E-4</c:v>
                </c:pt>
                <c:pt idx="301" formatCode="0.00E+00">
                  <c:v>1.370461E-4</c:v>
                </c:pt>
                <c:pt idx="302" formatCode="0.00E+00">
                  <c:v>9.0761500000000002E-5</c:v>
                </c:pt>
                <c:pt idx="303" formatCode="0.00E+00">
                  <c:v>1.431754E-4</c:v>
                </c:pt>
                <c:pt idx="304" formatCode="0.00E+00">
                  <c:v>9.2868049999999996E-5</c:v>
                </c:pt>
                <c:pt idx="305" formatCode="0.00E+00">
                  <c:v>1.221122E-4</c:v>
                </c:pt>
                <c:pt idx="306" formatCode="0.00E+00">
                  <c:v>1.158443E-4</c:v>
                </c:pt>
                <c:pt idx="307" formatCode="0.00E+00">
                  <c:v>9.2349089999999999E-5</c:v>
                </c:pt>
                <c:pt idx="308" formatCode="0.00E+00">
                  <c:v>1.335459E-4</c:v>
                </c:pt>
                <c:pt idx="309" formatCode="0.00E+00">
                  <c:v>8.0618079999999998E-5</c:v>
                </c:pt>
                <c:pt idx="310" formatCode="0.00E+00">
                  <c:v>1.2577589999999999E-4</c:v>
                </c:pt>
                <c:pt idx="311" formatCode="0.00E+00">
                  <c:v>9.524868E-5</c:v>
                </c:pt>
                <c:pt idx="312" formatCode="0.00E+00">
                  <c:v>9.8159110000000001E-5</c:v>
                </c:pt>
                <c:pt idx="313" formatCode="0.00E+00">
                  <c:v>1.183011E-4</c:v>
                </c:pt>
                <c:pt idx="314" formatCode="0.00E+00">
                  <c:v>7.5993479999999995E-5</c:v>
                </c:pt>
                <c:pt idx="315" formatCode="0.00E+00">
                  <c:v>1.239871E-4</c:v>
                </c:pt>
                <c:pt idx="316" formatCode="0.00E+00">
                  <c:v>7.8610249999999998E-5</c:v>
                </c:pt>
                <c:pt idx="317" formatCode="0.00E+00">
                  <c:v>1.045501E-4</c:v>
                </c:pt>
                <c:pt idx="318" formatCode="0.00E+00">
                  <c:v>1.002093E-4</c:v>
                </c:pt>
                <c:pt idx="319" formatCode="0.00E+00">
                  <c:v>7.7607340000000001E-5</c:v>
                </c:pt>
                <c:pt idx="320" formatCode="0.00E+00">
                  <c:v>1.162348E-4</c:v>
                </c:pt>
                <c:pt idx="321" formatCode="0.00E+00">
                  <c:v>6.7940699999999998E-5</c:v>
                </c:pt>
                <c:pt idx="322" formatCode="0.00E+00">
                  <c:v>1.083906E-4</c:v>
                </c:pt>
                <c:pt idx="323" formatCode="0.00E+00">
                  <c:v>8.245312E-5</c:v>
                </c:pt>
                <c:pt idx="324" formatCode="0.00E+00">
                  <c:v>8.2899049999999997E-5</c:v>
                </c:pt>
                <c:pt idx="325" formatCode="0.00E+00">
                  <c:v>1.036216E-4</c:v>
                </c:pt>
                <c:pt idx="326" formatCode="0.00E+00">
                  <c:v>6.3673870000000005E-5</c:v>
                </c:pt>
                <c:pt idx="327" formatCode="0.00E+00">
                  <c:v>1.077226E-4</c:v>
                </c:pt>
                <c:pt idx="328" formatCode="0.00E+00">
                  <c:v>6.7779679999999996E-5</c:v>
                </c:pt>
                <c:pt idx="329" formatCode="0.00E+00">
                  <c:v>8.8929380000000001E-5</c:v>
                </c:pt>
                <c:pt idx="330" formatCode="0.00E+00">
                  <c:v>8.8323580000000001E-5</c:v>
                </c:pt>
                <c:pt idx="331" formatCode="0.00E+00">
                  <c:v>6.4806040000000005E-5</c:v>
                </c:pt>
                <c:pt idx="332" formatCode="0.00E+00">
                  <c:v>1.0199429999999999E-4</c:v>
                </c:pt>
                <c:pt idx="333" formatCode="0.00E+00">
                  <c:v>5.794934E-5</c:v>
                </c:pt>
                <c:pt idx="334" formatCode="0.00E+00">
                  <c:v>9.3100549999999998E-5</c:v>
                </c:pt>
                <c:pt idx="335" formatCode="0.00E+00">
                  <c:v>7.2904550000000003E-5</c:v>
                </c:pt>
                <c:pt idx="336" formatCode="0.00E+00">
                  <c:v>6.936077E-5</c:v>
                </c:pt>
                <c:pt idx="337" formatCode="0.00E+00">
                  <c:v>9.194033E-5</c:v>
                </c:pt>
                <c:pt idx="338" formatCode="0.00E+00">
                  <c:v>5.3497990000000001E-5</c:v>
                </c:pt>
                <c:pt idx="339" formatCode="0.00E+00">
                  <c:v>9.3667029999999998E-5</c:v>
                </c:pt>
                <c:pt idx="340" formatCode="0.00E+00">
                  <c:v>5.967587E-5</c:v>
                </c:pt>
                <c:pt idx="341" formatCode="0.00E+00">
                  <c:v>7.4980899999999999E-5</c:v>
                </c:pt>
                <c:pt idx="342" formatCode="0.00E+00">
                  <c:v>7.9200840000000005E-5</c:v>
                </c:pt>
                <c:pt idx="343" formatCode="0.00E+00">
                  <c:v>5.3811709999999999E-5</c:v>
                </c:pt>
                <c:pt idx="344" formatCode="0.00E+00">
                  <c:v>8.9966440000000003E-5</c:v>
                </c:pt>
                <c:pt idx="345" formatCode="0.00E+00">
                  <c:v>5.0247929999999999E-5</c:v>
                </c:pt>
                <c:pt idx="346" formatCode="0.00E+00">
                  <c:v>7.9466469999999993E-5</c:v>
                </c:pt>
                <c:pt idx="347" formatCode="0.00E+00">
                  <c:v>6.5825549999999999E-5</c:v>
                </c:pt>
                <c:pt idx="348" formatCode="0.00E+00">
                  <c:v>5.7436860000000003E-5</c:v>
                </c:pt>
                <c:pt idx="349" formatCode="0.00E+00">
                  <c:v>8.2367409999999994E-5</c:v>
                </c:pt>
                <c:pt idx="350" formatCode="0.00E+00">
                  <c:v>4.5301589999999999E-5</c:v>
                </c:pt>
                <c:pt idx="351" formatCode="0.00E+00">
                  <c:v>8.1217869999999998E-5</c:v>
                </c:pt>
                <c:pt idx="352" formatCode="0.00E+00">
                  <c:v>5.377704E-5</c:v>
                </c:pt>
                <c:pt idx="353" formatCode="0.00E+00">
                  <c:v>6.2504510000000005E-5</c:v>
                </c:pt>
                <c:pt idx="354" formatCode="0.00E+00">
                  <c:v>7.2037780000000002E-5</c:v>
                </c:pt>
                <c:pt idx="355" formatCode="0.00E+00">
                  <c:v>4.4579580000000001E-5</c:v>
                </c:pt>
                <c:pt idx="356" formatCode="0.00E+00">
                  <c:v>7.9439100000000003E-5</c:v>
                </c:pt>
                <c:pt idx="357" formatCode="0.00E+00">
                  <c:v>4.4560220000000002E-5</c:v>
                </c:pt>
                <c:pt idx="358" formatCode="0.00E+00">
                  <c:v>6.7157710000000003E-5</c:v>
                </c:pt>
                <c:pt idx="359" formatCode="0.00E+00">
                  <c:v>6.0579129999999999E-5</c:v>
                </c:pt>
                <c:pt idx="360" formatCode="0.00E+00">
                  <c:v>4.7092000000000002E-5</c:v>
                </c:pt>
                <c:pt idx="361" formatCode="0.00E+00">
                  <c:v>7.4176279999999995E-5</c:v>
                </c:pt>
                <c:pt idx="362" formatCode="0.00E+00">
                  <c:v>3.8983109999999997E-5</c:v>
                </c:pt>
                <c:pt idx="363" formatCode="0.00E+00">
                  <c:v>6.9910749999999998E-5</c:v>
                </c:pt>
                <c:pt idx="364" formatCode="0.00E+00">
                  <c:v>4.9648870000000003E-5</c:v>
                </c:pt>
                <c:pt idx="365" formatCode="0.00E+00">
                  <c:v>5.1407260000000002E-5</c:v>
                </c:pt>
                <c:pt idx="366" formatCode="0.00E+00">
                  <c:v>6.6169019999999998E-5</c:v>
                </c:pt>
                <c:pt idx="367" formatCode="0.00E+00">
                  <c:v>3.7107709999999998E-5</c:v>
                </c:pt>
                <c:pt idx="368" formatCode="0.00E+00">
                  <c:v>6.9861679999999994E-5</c:v>
                </c:pt>
                <c:pt idx="369" formatCode="0.00E+00">
                  <c:v>4.0633339999999999E-5</c:v>
                </c:pt>
                <c:pt idx="370" formatCode="0.00E+00">
                  <c:v>5.5976320000000003E-5</c:v>
                </c:pt>
                <c:pt idx="371" formatCode="0.00E+00">
                  <c:v>5.6612359999999997E-5</c:v>
                </c:pt>
                <c:pt idx="372" formatCode="0.00E+00">
                  <c:v>3.8352809999999997E-5</c:v>
                </c:pt>
                <c:pt idx="373" formatCode="0.00E+00">
                  <c:v>6.6773350000000003E-5</c:v>
                </c:pt>
                <c:pt idx="374" formatCode="0.00E+00">
                  <c:v>3.4441479999999997E-5</c:v>
                </c:pt>
                <c:pt idx="375" formatCode="0.00E+00">
                  <c:v>5.9442820000000001E-5</c:v>
                </c:pt>
                <c:pt idx="376" formatCode="0.00E+00">
                  <c:v>4.6868700000000001E-5</c:v>
                </c:pt>
                <c:pt idx="377" formatCode="0.00E+00">
                  <c:v>4.1683829999999998E-5</c:v>
                </c:pt>
                <c:pt idx="378" formatCode="0.00E+00">
                  <c:v>6.1012109999999999E-5</c:v>
                </c:pt>
                <c:pt idx="379" formatCode="0.00E+00">
                  <c:v>3.139974E-5</c:v>
                </c:pt>
                <c:pt idx="380" formatCode="0.00E+00">
                  <c:v>6.0839789999999999E-5</c:v>
                </c:pt>
                <c:pt idx="381" formatCode="0.00E+00">
                  <c:v>3.8189360000000001E-5</c:v>
                </c:pt>
                <c:pt idx="382" formatCode="0.00E+00">
                  <c:v>4.5860170000000003E-5</c:v>
                </c:pt>
                <c:pt idx="383" formatCode="0.00E+00">
                  <c:v>5.3400409999999999E-5</c:v>
                </c:pt>
                <c:pt idx="384" formatCode="0.00E+00">
                  <c:v>3.1280949999999997E-5</c:v>
                </c:pt>
                <c:pt idx="385" formatCode="0.00E+00">
                  <c:v>5.9704840000000001E-5</c:v>
                </c:pt>
                <c:pt idx="386" formatCode="0.00E+00">
                  <c:v>3.1535629999999999E-5</c:v>
                </c:pt>
                <c:pt idx="387" formatCode="0.00E+00">
                  <c:v>4.967305E-5</c:v>
                </c:pt>
                <c:pt idx="388" formatCode="0.00E+00">
                  <c:v>4.4996449999999998E-5</c:v>
                </c:pt>
                <c:pt idx="389" formatCode="0.00E+00">
                  <c:v>3.34161E-5</c:v>
                </c:pt>
                <c:pt idx="390" formatCode="0.00E+00">
                  <c:v>5.6083789999999999E-5</c:v>
                </c:pt>
                <c:pt idx="391" formatCode="0.00E+00">
                  <c:v>2.7427210000000001E-5</c:v>
                </c:pt>
                <c:pt idx="392" formatCode="0.00E+00">
                  <c:v>5.2149569999999997E-5</c:v>
                </c:pt>
                <c:pt idx="393" formatCode="0.00E+00">
                  <c:v>3.6896729999999997E-5</c:v>
                </c:pt>
                <c:pt idx="394" formatCode="0.00E+00">
                  <c:v>3.6867789999999999E-5</c:v>
                </c:pt>
                <c:pt idx="395" formatCode="0.00E+00">
                  <c:v>5.0455119999999999E-5</c:v>
                </c:pt>
                <c:pt idx="396" formatCode="0.00E+00">
                  <c:v>2.5935299999999999E-5</c:v>
                </c:pt>
                <c:pt idx="397" formatCode="0.00E+00">
                  <c:v>5.2665440000000002E-5</c:v>
                </c:pt>
                <c:pt idx="398" formatCode="0.00E+00">
                  <c:v>3.0043010000000001E-5</c:v>
                </c:pt>
                <c:pt idx="399" formatCode="0.00E+00">
                  <c:v>4.0615870000000003E-5</c:v>
                </c:pt>
                <c:pt idx="400" formatCode="0.00E+00">
                  <c:v>4.3579089999999997E-5</c:v>
                </c:pt>
                <c:pt idx="401" formatCode="0.00E+00">
                  <c:v>2.672254E-5</c:v>
                </c:pt>
                <c:pt idx="402" formatCode="0.00E+00">
                  <c:v>5.1007929999999999E-5</c:v>
                </c:pt>
                <c:pt idx="403" formatCode="0.00E+00">
                  <c:v>2.508634E-5</c:v>
                </c:pt>
                <c:pt idx="404" formatCode="0.00E+00">
                  <c:v>4.373577E-5</c:v>
                </c:pt>
                <c:pt idx="405" formatCode="0.00E+00">
                  <c:v>3.6357589999999998E-5</c:v>
                </c:pt>
                <c:pt idx="406" formatCode="0.00E+00">
                  <c:v>2.9150640000000001E-5</c:v>
                </c:pt>
                <c:pt idx="407" formatCode="0.00E+00">
                  <c:v>4.7347369999999998E-5</c:v>
                </c:pt>
                <c:pt idx="408" formatCode="0.00E+00">
                  <c:v>2.2326869999999999E-5</c:v>
                </c:pt>
                <c:pt idx="409" formatCode="0.00E+00">
                  <c:v>4.5514299999999999E-5</c:v>
                </c:pt>
                <c:pt idx="410" formatCode="0.00E+00">
                  <c:v>2.965219E-5</c:v>
                </c:pt>
                <c:pt idx="411" formatCode="0.00E+00">
                  <c:v>3.241732E-5</c:v>
                </c:pt>
                <c:pt idx="412" formatCode="0.00E+00">
                  <c:v>4.2160850000000001E-5</c:v>
                </c:pt>
                <c:pt idx="413" formatCode="0.00E+00">
                  <c:v>2.1714800000000001E-5</c:v>
                </c:pt>
                <c:pt idx="414" formatCode="0.00E+00">
                  <c:v>4.5548840000000003E-5</c:v>
                </c:pt>
                <c:pt idx="415" formatCode="0.00E+00">
                  <c:v>2.4170050000000001E-5</c:v>
                </c:pt>
                <c:pt idx="416" formatCode="0.00E+00">
                  <c:v>3.5701919999999999E-5</c:v>
                </c:pt>
                <c:pt idx="417" formatCode="0.00E+00">
                  <c:v>3.6115980000000003E-5</c:v>
                </c:pt>
                <c:pt idx="418" formatCode="0.00E+00">
                  <c:v>2.289728E-5</c:v>
                </c:pt>
                <c:pt idx="419" formatCode="0.00E+00">
                  <c:v>4.3751670000000001E-5</c:v>
                </c:pt>
                <c:pt idx="420" formatCode="0.00E+00">
                  <c:v>2.0372649999999999E-5</c:v>
                </c:pt>
                <c:pt idx="421" formatCode="0.00E+00">
                  <c:v>3.8281899999999997E-5</c:v>
                </c:pt>
                <c:pt idx="422" formatCode="0.00E+00">
                  <c:v>2.99502E-5</c:v>
                </c:pt>
                <c:pt idx="423" formatCode="0.00E+00">
                  <c:v>2.5309069999999999E-5</c:v>
                </c:pt>
                <c:pt idx="424" formatCode="0.00E+00">
                  <c:v>4.0329910000000002E-5</c:v>
                </c:pt>
                <c:pt idx="425" formatCode="0.00E+00">
                  <c:v>1.8440189999999999E-5</c:v>
                </c:pt>
                <c:pt idx="426" formatCode="0.00E+00">
                  <c:v>3.9632609999999998E-5</c:v>
                </c:pt>
                <c:pt idx="427" formatCode="0.00E+00">
                  <c:v>2.4350560000000001E-5</c:v>
                </c:pt>
                <c:pt idx="428" formatCode="0.00E+00">
                  <c:v>2.8286350000000001E-5</c:v>
                </c:pt>
                <c:pt idx="429" formatCode="0.00E+00">
                  <c:v>3.5713149999999999E-5</c:v>
                </c:pt>
                <c:pt idx="430" formatCode="0.00E+00">
                  <c:v>1.827635E-5</c:v>
                </c:pt>
                <c:pt idx="431" formatCode="0.00E+00">
                  <c:v>3.9472859999999997E-5</c:v>
                </c:pt>
                <c:pt idx="432" formatCode="0.00E+00">
                  <c:v>1.9862119999999999E-5</c:v>
                </c:pt>
                <c:pt idx="433" formatCode="0.00E+00">
                  <c:v>3.1160729999999997E-5</c:v>
                </c:pt>
                <c:pt idx="434" formatCode="0.00E+00">
                  <c:v>3.0466519999999998E-5</c:v>
                </c:pt>
                <c:pt idx="435" formatCode="0.00E+00">
                  <c:v>1.9558480000000001E-5</c:v>
                </c:pt>
                <c:pt idx="436" formatCode="0.00E+00">
                  <c:v>3.7772009999999998E-5</c:v>
                </c:pt>
                <c:pt idx="437" formatCode="0.00E+00">
                  <c:v>1.682836E-5</c:v>
                </c:pt>
                <c:pt idx="438" formatCode="0.00E+00">
                  <c:v>3.3364970000000001E-5</c:v>
                </c:pt>
                <c:pt idx="439" formatCode="0.00E+00">
                  <c:v>2.519052E-5</c:v>
                </c:pt>
                <c:pt idx="440" formatCode="0.00E+00">
                  <c:v>2.1808059999999999E-5</c:v>
                </c:pt>
                <c:pt idx="441" formatCode="0.00E+00">
                  <c:v>3.472902E-5</c:v>
                </c:pt>
                <c:pt idx="442" formatCode="0.00E+00">
                  <c:v>1.5367500000000002E-5</c:v>
                </c:pt>
                <c:pt idx="443" formatCode="0.00E+00">
                  <c:v>3.4490689999999998E-5</c:v>
                </c:pt>
                <c:pt idx="444" formatCode="0.00E+00">
                  <c:v>2.0444220000000001E-5</c:v>
                </c:pt>
                <c:pt idx="445" formatCode="0.00E+00">
                  <c:v>2.4475349999999999E-5</c:v>
                </c:pt>
                <c:pt idx="446" formatCode="0.00E+00">
                  <c:v>3.070997E-5</c:v>
                </c:pt>
                <c:pt idx="447" formatCode="0.00E+00">
                  <c:v>1.538176E-5</c:v>
                </c:pt>
                <c:pt idx="448" formatCode="0.00E+00">
                  <c:v>3.4324479999999998E-5</c:v>
                </c:pt>
                <c:pt idx="449" formatCode="0.00E+00">
                  <c:v>1.6659780000000001E-5</c:v>
                </c:pt>
                <c:pt idx="450" formatCode="0.00E+00">
                  <c:v>2.7016360000000002E-5</c:v>
                </c:pt>
                <c:pt idx="451" formatCode="0.00E+00">
                  <c:v>2.6183460000000002E-5</c:v>
                </c:pt>
                <c:pt idx="452" formatCode="0.00E+00">
                  <c:v>1.659563E-5</c:v>
                </c:pt>
                <c:pt idx="453" formatCode="0.00E+00">
                  <c:v>3.2855809999999999E-5</c:v>
                </c:pt>
                <c:pt idx="454" formatCode="0.00E+00">
                  <c:v>1.410939E-5</c:v>
                </c:pt>
                <c:pt idx="455" formatCode="0.00E+00">
                  <c:v>2.8973639999999999E-5</c:v>
                </c:pt>
                <c:pt idx="456" formatCode="0.00E+00">
                  <c:v>2.1647870000000001E-5</c:v>
                </c:pt>
                <c:pt idx="457" formatCode="0.00E+00">
                  <c:v>1.8614009999999999E-5</c:v>
                </c:pt>
                <c:pt idx="458" formatCode="0.00E+00">
                  <c:v>3.025247E-5</c:v>
                </c:pt>
                <c:pt idx="459" formatCode="0.00E+00">
                  <c:v>1.288619E-5</c:v>
                </c:pt>
                <c:pt idx="460" formatCode="0.00E+00">
                  <c:v>3.0011530000000001E-5</c:v>
                </c:pt>
                <c:pt idx="461" formatCode="0.00E+00">
                  <c:v>1.7554299999999999E-5</c:v>
                </c:pt>
                <c:pt idx="462" formatCode="0.00E+00">
                  <c:v>2.098447E-5</c:v>
                </c:pt>
                <c:pt idx="463" formatCode="0.00E+00">
                  <c:v>2.6814979999999999E-5</c:v>
                </c:pt>
                <c:pt idx="464" formatCode="0.00E+00">
                  <c:v>1.2911659999999999E-5</c:v>
                </c:pt>
                <c:pt idx="465" formatCode="0.00E+00">
                  <c:v>2.995461E-5</c:v>
                </c:pt>
                <c:pt idx="466" formatCode="0.00E+00">
                  <c:v>1.426248E-5</c:v>
                </c:pt>
                <c:pt idx="467" formatCode="0.00E+00">
                  <c:v>2.3261560000000002E-5</c:v>
                </c:pt>
                <c:pt idx="468" formatCode="0.00E+00">
                  <c:v>2.2928649999999999E-5</c:v>
                </c:pt>
                <c:pt idx="469" formatCode="0.00E+00">
                  <c:v>1.3963499999999999E-5</c:v>
                </c:pt>
                <c:pt idx="470" formatCode="0.00E+00">
                  <c:v>2.8788220000000001E-5</c:v>
                </c:pt>
                <c:pt idx="471" formatCode="0.00E+00">
                  <c:v>1.200636E-5</c:v>
                </c:pt>
                <c:pt idx="472" formatCode="0.00E+00">
                  <c:v>2.5059399999999999E-5</c:v>
                </c:pt>
                <c:pt idx="473" formatCode="0.00E+00">
                  <c:v>1.900372E-5</c:v>
                </c:pt>
                <c:pt idx="474" formatCode="0.00E+00">
                  <c:v>1.5722120000000001E-5</c:v>
                </c:pt>
                <c:pt idx="475" formatCode="0.00E+00">
                  <c:v>2.6640320000000001E-5</c:v>
                </c:pt>
                <c:pt idx="476" formatCode="0.00E+00">
                  <c:v>1.08718E-5</c:v>
                </c:pt>
                <c:pt idx="477" formatCode="0.00E+00">
                  <c:v>2.6095229999999999E-5</c:v>
                </c:pt>
                <c:pt idx="478" formatCode="0.00E+00">
                  <c:v>1.5415799999999999E-5</c:v>
                </c:pt>
                <c:pt idx="479" formatCode="0.00E+00">
                  <c:v>1.781386E-5</c:v>
                </c:pt>
                <c:pt idx="480" formatCode="0.00E+00">
                  <c:v>2.3753019999999999E-5</c:v>
                </c:pt>
                <c:pt idx="481" formatCode="0.00E+00">
                  <c:v>1.080748E-5</c:v>
                </c:pt>
                <c:pt idx="482" formatCode="0.00E+00">
                  <c:v>2.621076E-5</c:v>
                </c:pt>
                <c:pt idx="483" formatCode="0.00E+00">
                  <c:v>1.247696E-5</c:v>
                </c:pt>
                <c:pt idx="484" formatCode="0.00E+00">
                  <c:v>1.986873E-5</c:v>
                </c:pt>
                <c:pt idx="485" formatCode="0.00E+00">
                  <c:v>2.0435690000000001E-5</c:v>
                </c:pt>
                <c:pt idx="486" formatCode="0.00E+00">
                  <c:v>1.164392E-5</c:v>
                </c:pt>
                <c:pt idx="487" formatCode="0.00E+00">
                  <c:v>2.5375119999999998E-5</c:v>
                </c:pt>
                <c:pt idx="488" formatCode="0.00E+00">
                  <c:v>1.039273E-5</c:v>
                </c:pt>
                <c:pt idx="489" formatCode="0.00E+00">
                  <c:v>2.1561049999999999E-5</c:v>
                </c:pt>
                <c:pt idx="490" formatCode="0.00E+00">
                  <c:v>1.7027770000000001E-5</c:v>
                </c:pt>
                <c:pt idx="491" formatCode="0.00E+00">
                  <c:v>1.312523E-5</c:v>
                </c:pt>
                <c:pt idx="492" formatCode="0.00E+00">
                  <c:v>2.3678619999999999E-5</c:v>
                </c:pt>
                <c:pt idx="493" formatCode="0.00E+00">
                  <c:v>9.2536069999999998E-6</c:v>
                </c:pt>
                <c:pt idx="494" formatCode="0.00E+00">
                  <c:v>2.2640659999999999E-5</c:v>
                </c:pt>
                <c:pt idx="495" formatCode="0.00E+00">
                  <c:v>1.384947E-5</c:v>
                </c:pt>
                <c:pt idx="496" formatCode="0.00E+00">
                  <c:v>1.4949850000000001E-5</c:v>
                </c:pt>
                <c:pt idx="497" formatCode="0.00E+00">
                  <c:v>2.1304159999999999E-5</c:v>
                </c:pt>
                <c:pt idx="498" formatCode="0.00E+00">
                  <c:v>9.0399329999999999E-6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E-4F96-96DF-9401B3BD6251}"/>
            </c:ext>
          </c:extLst>
        </c:ser>
        <c:ser>
          <c:idx val="0"/>
          <c:order val="1"/>
          <c:tx>
            <c:strRef>
              <c:f>Tool!$F$3</c:f>
              <c:strCache>
                <c:ptCount val="1"/>
                <c:pt idx="0">
                  <c:v>I zona1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Tool!$B$5:$B$503</c:f>
              <c:numCache>
                <c:formatCode>0.00E+00</c:formatCode>
                <c:ptCount val="499"/>
                <c:pt idx="0">
                  <c:v>6.0120240000000004E-3</c:v>
                </c:pt>
                <c:pt idx="1">
                  <c:v>1.202405E-2</c:v>
                </c:pt>
                <c:pt idx="2">
                  <c:v>1.8036070000000001E-2</c:v>
                </c:pt>
                <c:pt idx="3">
                  <c:v>2.4048099999999999E-2</c:v>
                </c:pt>
                <c:pt idx="4">
                  <c:v>3.0060119999999999E-2</c:v>
                </c:pt>
                <c:pt idx="5">
                  <c:v>3.6072140000000003E-2</c:v>
                </c:pt>
                <c:pt idx="6">
                  <c:v>4.2084169999999997E-2</c:v>
                </c:pt>
                <c:pt idx="7">
                  <c:v>4.8096189999999997E-2</c:v>
                </c:pt>
                <c:pt idx="8">
                  <c:v>5.4108209999999997E-2</c:v>
                </c:pt>
                <c:pt idx="9">
                  <c:v>6.0120239999999998E-2</c:v>
                </c:pt>
                <c:pt idx="10">
                  <c:v>6.6132259999999998E-2</c:v>
                </c:pt>
                <c:pt idx="11">
                  <c:v>7.2144280000000005E-2</c:v>
                </c:pt>
                <c:pt idx="12">
                  <c:v>7.8156310000000007E-2</c:v>
                </c:pt>
                <c:pt idx="13">
                  <c:v>8.4168339999999994E-2</c:v>
                </c:pt>
                <c:pt idx="14">
                  <c:v>9.0180360000000001E-2</c:v>
                </c:pt>
                <c:pt idx="15">
                  <c:v>9.6192379999999994E-2</c:v>
                </c:pt>
                <c:pt idx="16" formatCode="General">
                  <c:v>0.102204</c:v>
                </c:pt>
                <c:pt idx="17" formatCode="General">
                  <c:v>0.10821600000000001</c:v>
                </c:pt>
                <c:pt idx="18" formatCode="General">
                  <c:v>0.114228</c:v>
                </c:pt>
                <c:pt idx="19" formatCode="General">
                  <c:v>0.12024</c:v>
                </c:pt>
                <c:pt idx="20" formatCode="General">
                  <c:v>0.126253</c:v>
                </c:pt>
                <c:pt idx="21" formatCode="General">
                  <c:v>0.13226499999999999</c:v>
                </c:pt>
                <c:pt idx="22" formatCode="General">
                  <c:v>0.13827700000000001</c:v>
                </c:pt>
                <c:pt idx="23" formatCode="General">
                  <c:v>0.144289</c:v>
                </c:pt>
                <c:pt idx="24" formatCode="General">
                  <c:v>0.15030099999999999</c:v>
                </c:pt>
                <c:pt idx="25" formatCode="General">
                  <c:v>0.15631300000000001</c:v>
                </c:pt>
                <c:pt idx="26" formatCode="General">
                  <c:v>0.162325</c:v>
                </c:pt>
                <c:pt idx="27" formatCode="General">
                  <c:v>0.16833699999999999</c:v>
                </c:pt>
                <c:pt idx="28" formatCode="General">
                  <c:v>0.174349</c:v>
                </c:pt>
                <c:pt idx="29" formatCode="General">
                  <c:v>0.18036099999999999</c:v>
                </c:pt>
                <c:pt idx="30" formatCode="General">
                  <c:v>0.18637300000000001</c:v>
                </c:pt>
                <c:pt idx="31" formatCode="General">
                  <c:v>0.192385</c:v>
                </c:pt>
                <c:pt idx="32" formatCode="General">
                  <c:v>0.19839699999999999</c:v>
                </c:pt>
                <c:pt idx="33" formatCode="General">
                  <c:v>0.20440900000000001</c:v>
                </c:pt>
                <c:pt idx="34" formatCode="General">
                  <c:v>0.210421</c:v>
                </c:pt>
                <c:pt idx="35" formatCode="General">
                  <c:v>0.21643299999999999</c:v>
                </c:pt>
                <c:pt idx="36" formatCode="General">
                  <c:v>0.222445</c:v>
                </c:pt>
                <c:pt idx="37" formatCode="General">
                  <c:v>0.22845699999999999</c:v>
                </c:pt>
                <c:pt idx="38" formatCode="General">
                  <c:v>0.23446900000000001</c:v>
                </c:pt>
                <c:pt idx="39" formatCode="General">
                  <c:v>0.240481</c:v>
                </c:pt>
                <c:pt idx="40" formatCode="General">
                  <c:v>0.24649299999999999</c:v>
                </c:pt>
                <c:pt idx="41" formatCode="General">
                  <c:v>0.25250499999999998</c:v>
                </c:pt>
                <c:pt idx="42" formatCode="General">
                  <c:v>0.258517</c:v>
                </c:pt>
                <c:pt idx="43" formatCode="General">
                  <c:v>0.26452900000000001</c:v>
                </c:pt>
                <c:pt idx="44" formatCode="General">
                  <c:v>0.27054099999999998</c:v>
                </c:pt>
                <c:pt idx="45" formatCode="General">
                  <c:v>0.27655299999999999</c:v>
                </c:pt>
                <c:pt idx="46" formatCode="General">
                  <c:v>0.28256500000000001</c:v>
                </c:pt>
                <c:pt idx="47" formatCode="General">
                  <c:v>0.28857699999999997</c:v>
                </c:pt>
                <c:pt idx="48" formatCode="General">
                  <c:v>0.29458899999999999</c:v>
                </c:pt>
                <c:pt idx="49" formatCode="General">
                  <c:v>0.30060100000000001</c:v>
                </c:pt>
                <c:pt idx="50" formatCode="General">
                  <c:v>0.30661300000000002</c:v>
                </c:pt>
                <c:pt idx="51" formatCode="General">
                  <c:v>0.31262499999999999</c:v>
                </c:pt>
                <c:pt idx="52" formatCode="General">
                  <c:v>0.318637</c:v>
                </c:pt>
                <c:pt idx="53" formatCode="General">
                  <c:v>0.32464900000000002</c:v>
                </c:pt>
                <c:pt idx="54" formatCode="General">
                  <c:v>0.33066099999999998</c:v>
                </c:pt>
                <c:pt idx="55" formatCode="General">
                  <c:v>0.336673</c:v>
                </c:pt>
                <c:pt idx="56" formatCode="General">
                  <c:v>0.34268500000000002</c:v>
                </c:pt>
                <c:pt idx="57" formatCode="General">
                  <c:v>0.34869699999999998</c:v>
                </c:pt>
                <c:pt idx="58" formatCode="General">
                  <c:v>0.354709</c:v>
                </c:pt>
                <c:pt idx="59" formatCode="General">
                  <c:v>0.36072100000000001</c:v>
                </c:pt>
                <c:pt idx="60" formatCode="General">
                  <c:v>0.36673299999999998</c:v>
                </c:pt>
                <c:pt idx="61" formatCode="General">
                  <c:v>0.37274499999999999</c:v>
                </c:pt>
                <c:pt idx="62" formatCode="General">
                  <c:v>0.37875799999999998</c:v>
                </c:pt>
                <c:pt idx="63" formatCode="General">
                  <c:v>0.38477</c:v>
                </c:pt>
                <c:pt idx="64" formatCode="General">
                  <c:v>0.39078200000000002</c:v>
                </c:pt>
                <c:pt idx="65" formatCode="General">
                  <c:v>0.39679399999999998</c:v>
                </c:pt>
                <c:pt idx="66" formatCode="General">
                  <c:v>0.402806</c:v>
                </c:pt>
                <c:pt idx="67" formatCode="General">
                  <c:v>0.40881800000000001</c:v>
                </c:pt>
                <c:pt idx="68" formatCode="General">
                  <c:v>0.41482999999999998</c:v>
                </c:pt>
                <c:pt idx="69" formatCode="General">
                  <c:v>0.42084199999999999</c:v>
                </c:pt>
                <c:pt idx="70" formatCode="General">
                  <c:v>0.42685400000000001</c:v>
                </c:pt>
                <c:pt idx="71" formatCode="General">
                  <c:v>0.43286599999999997</c:v>
                </c:pt>
                <c:pt idx="72" formatCode="General">
                  <c:v>0.43887799999999999</c:v>
                </c:pt>
                <c:pt idx="73" formatCode="General">
                  <c:v>0.44489000000000001</c:v>
                </c:pt>
                <c:pt idx="74" formatCode="General">
                  <c:v>0.45090200000000003</c:v>
                </c:pt>
                <c:pt idx="75" formatCode="General">
                  <c:v>0.45691399999999999</c:v>
                </c:pt>
                <c:pt idx="76" formatCode="General">
                  <c:v>0.462926</c:v>
                </c:pt>
                <c:pt idx="77" formatCode="General">
                  <c:v>0.46893800000000002</c:v>
                </c:pt>
                <c:pt idx="78" formatCode="General">
                  <c:v>0.47494999999999998</c:v>
                </c:pt>
                <c:pt idx="79" formatCode="General">
                  <c:v>0.480962</c:v>
                </c:pt>
                <c:pt idx="80" formatCode="General">
                  <c:v>0.48697400000000002</c:v>
                </c:pt>
                <c:pt idx="81" formatCode="General">
                  <c:v>0.49298599999999998</c:v>
                </c:pt>
                <c:pt idx="82" formatCode="General">
                  <c:v>0.498998</c:v>
                </c:pt>
                <c:pt idx="83" formatCode="General">
                  <c:v>0.50500999999999996</c:v>
                </c:pt>
                <c:pt idx="84" formatCode="General">
                  <c:v>0.51102199999999998</c:v>
                </c:pt>
                <c:pt idx="85" formatCode="General">
                  <c:v>0.51703399999999999</c:v>
                </c:pt>
                <c:pt idx="86" formatCode="General">
                  <c:v>0.52304600000000001</c:v>
                </c:pt>
                <c:pt idx="87" formatCode="General">
                  <c:v>0.52905800000000003</c:v>
                </c:pt>
                <c:pt idx="88" formatCode="General">
                  <c:v>0.53507000000000005</c:v>
                </c:pt>
                <c:pt idx="89" formatCode="General">
                  <c:v>0.54108199999999995</c:v>
                </c:pt>
                <c:pt idx="90" formatCode="General">
                  <c:v>0.54709399999999997</c:v>
                </c:pt>
                <c:pt idx="91" formatCode="General">
                  <c:v>0.55310599999999999</c:v>
                </c:pt>
                <c:pt idx="92" formatCode="General">
                  <c:v>0.559118</c:v>
                </c:pt>
                <c:pt idx="93" formatCode="General">
                  <c:v>0.56513000000000002</c:v>
                </c:pt>
                <c:pt idx="94" formatCode="General">
                  <c:v>0.57114200000000004</c:v>
                </c:pt>
                <c:pt idx="95" formatCode="General">
                  <c:v>0.57715399999999994</c:v>
                </c:pt>
                <c:pt idx="96" formatCode="General">
                  <c:v>0.58316599999999996</c:v>
                </c:pt>
                <c:pt idx="97" formatCode="General">
                  <c:v>0.58917799999999998</c:v>
                </c:pt>
                <c:pt idx="98" formatCode="General">
                  <c:v>0.59519</c:v>
                </c:pt>
                <c:pt idx="99" formatCode="General">
                  <c:v>0.60120200000000001</c:v>
                </c:pt>
                <c:pt idx="100" formatCode="General">
                  <c:v>0.60721400000000003</c:v>
                </c:pt>
                <c:pt idx="101" formatCode="General">
                  <c:v>0.61322600000000005</c:v>
                </c:pt>
                <c:pt idx="102" formatCode="General">
                  <c:v>0.61923799999999996</c:v>
                </c:pt>
                <c:pt idx="103" formatCode="General">
                  <c:v>0.62524999999999997</c:v>
                </c:pt>
                <c:pt idx="104" formatCode="General">
                  <c:v>0.63126199999999999</c:v>
                </c:pt>
                <c:pt idx="105" formatCode="General">
                  <c:v>0.63727500000000004</c:v>
                </c:pt>
                <c:pt idx="106" formatCode="General">
                  <c:v>0.64328700000000005</c:v>
                </c:pt>
                <c:pt idx="107" formatCode="General">
                  <c:v>0.64929899999999996</c:v>
                </c:pt>
                <c:pt idx="108" formatCode="General">
                  <c:v>0.65531099999999998</c:v>
                </c:pt>
                <c:pt idx="109" formatCode="General">
                  <c:v>0.66132299999999999</c:v>
                </c:pt>
                <c:pt idx="110" formatCode="General">
                  <c:v>0.66733500000000001</c:v>
                </c:pt>
                <c:pt idx="111" formatCode="General">
                  <c:v>0.67334700000000003</c:v>
                </c:pt>
                <c:pt idx="112" formatCode="General">
                  <c:v>0.67935900000000005</c:v>
                </c:pt>
                <c:pt idx="113" formatCode="General">
                  <c:v>0.68537099999999995</c:v>
                </c:pt>
                <c:pt idx="114" formatCode="General">
                  <c:v>0.69138299999999997</c:v>
                </c:pt>
                <c:pt idx="115" formatCode="General">
                  <c:v>0.69739499999999999</c:v>
                </c:pt>
                <c:pt idx="116" formatCode="General">
                  <c:v>0.703407</c:v>
                </c:pt>
                <c:pt idx="117" formatCode="General">
                  <c:v>0.70941900000000002</c:v>
                </c:pt>
                <c:pt idx="118" formatCode="General">
                  <c:v>0.71543100000000004</c:v>
                </c:pt>
                <c:pt idx="119" formatCode="General">
                  <c:v>0.72144299999999995</c:v>
                </c:pt>
                <c:pt idx="120" formatCode="General">
                  <c:v>0.72745499999999996</c:v>
                </c:pt>
                <c:pt idx="121" formatCode="General">
                  <c:v>0.73346699999999998</c:v>
                </c:pt>
                <c:pt idx="122" formatCode="General">
                  <c:v>0.739479</c:v>
                </c:pt>
                <c:pt idx="123" formatCode="General">
                  <c:v>0.74549100000000001</c:v>
                </c:pt>
                <c:pt idx="124" formatCode="General">
                  <c:v>0.75150300000000003</c:v>
                </c:pt>
                <c:pt idx="125" formatCode="General">
                  <c:v>0.75751500000000005</c:v>
                </c:pt>
                <c:pt idx="126" formatCode="General">
                  <c:v>0.76352699999999996</c:v>
                </c:pt>
                <c:pt idx="127" formatCode="General">
                  <c:v>0.76953899999999997</c:v>
                </c:pt>
                <c:pt idx="128" formatCode="General">
                  <c:v>0.77555099999999999</c:v>
                </c:pt>
                <c:pt idx="129" formatCode="General">
                  <c:v>0.78156300000000001</c:v>
                </c:pt>
                <c:pt idx="130" formatCode="General">
                  <c:v>0.78757500000000003</c:v>
                </c:pt>
                <c:pt idx="131" formatCode="General">
                  <c:v>0.79358700000000004</c:v>
                </c:pt>
                <c:pt idx="132" formatCode="General">
                  <c:v>0.79959899999999995</c:v>
                </c:pt>
                <c:pt idx="133" formatCode="General">
                  <c:v>0.80561099999999997</c:v>
                </c:pt>
                <c:pt idx="134" formatCode="General">
                  <c:v>0.81162299999999998</c:v>
                </c:pt>
                <c:pt idx="135" formatCode="General">
                  <c:v>0.817635</c:v>
                </c:pt>
                <c:pt idx="136" formatCode="General">
                  <c:v>0.82364700000000002</c:v>
                </c:pt>
                <c:pt idx="137" formatCode="General">
                  <c:v>0.82965900000000004</c:v>
                </c:pt>
                <c:pt idx="138" formatCode="General">
                  <c:v>0.83567100000000005</c:v>
                </c:pt>
                <c:pt idx="139" formatCode="General">
                  <c:v>0.84168299999999996</c:v>
                </c:pt>
                <c:pt idx="140" formatCode="General">
                  <c:v>0.84769499999999998</c:v>
                </c:pt>
                <c:pt idx="141" formatCode="General">
                  <c:v>0.85370699999999999</c:v>
                </c:pt>
                <c:pt idx="142" formatCode="General">
                  <c:v>0.85971900000000001</c:v>
                </c:pt>
                <c:pt idx="143" formatCode="General">
                  <c:v>0.86573100000000003</c:v>
                </c:pt>
                <c:pt idx="144" formatCode="General">
                  <c:v>0.87174300000000005</c:v>
                </c:pt>
                <c:pt idx="145" formatCode="General">
                  <c:v>0.87775499999999995</c:v>
                </c:pt>
                <c:pt idx="146" formatCode="General">
                  <c:v>0.88376699999999997</c:v>
                </c:pt>
                <c:pt idx="147" formatCode="General">
                  <c:v>0.88978000000000002</c:v>
                </c:pt>
                <c:pt idx="148" formatCode="General">
                  <c:v>0.89579200000000003</c:v>
                </c:pt>
                <c:pt idx="149" formatCode="General">
                  <c:v>0.90180400000000005</c:v>
                </c:pt>
                <c:pt idx="150" formatCode="General">
                  <c:v>0.90781599999999996</c:v>
                </c:pt>
                <c:pt idx="151" formatCode="General">
                  <c:v>0.91382799999999997</c:v>
                </c:pt>
                <c:pt idx="152" formatCode="General">
                  <c:v>0.91983999999999999</c:v>
                </c:pt>
                <c:pt idx="153" formatCode="General">
                  <c:v>0.92585200000000001</c:v>
                </c:pt>
                <c:pt idx="154" formatCode="General">
                  <c:v>0.93186400000000003</c:v>
                </c:pt>
                <c:pt idx="155" formatCode="General">
                  <c:v>0.93787600000000004</c:v>
                </c:pt>
                <c:pt idx="156" formatCode="General">
                  <c:v>0.94388799999999995</c:v>
                </c:pt>
                <c:pt idx="157" formatCode="General">
                  <c:v>0.94989999999999997</c:v>
                </c:pt>
                <c:pt idx="158" formatCode="General">
                  <c:v>0.95591199999999998</c:v>
                </c:pt>
                <c:pt idx="159" formatCode="General">
                  <c:v>0.961924</c:v>
                </c:pt>
                <c:pt idx="160" formatCode="General">
                  <c:v>0.96793600000000002</c:v>
                </c:pt>
                <c:pt idx="161" formatCode="General">
                  <c:v>0.97394800000000004</c:v>
                </c:pt>
                <c:pt idx="162" formatCode="General">
                  <c:v>0.97996000000000005</c:v>
                </c:pt>
                <c:pt idx="163" formatCode="General">
                  <c:v>0.98597199999999996</c:v>
                </c:pt>
                <c:pt idx="164" formatCode="General">
                  <c:v>0.99198399999999998</c:v>
                </c:pt>
                <c:pt idx="165" formatCode="General">
                  <c:v>0.99799599999999999</c:v>
                </c:pt>
                <c:pt idx="166" formatCode="General">
                  <c:v>1.0040100000000001</c:v>
                </c:pt>
                <c:pt idx="167" formatCode="General">
                  <c:v>1.0100199999999999</c:v>
                </c:pt>
                <c:pt idx="168" formatCode="General">
                  <c:v>1.01603</c:v>
                </c:pt>
                <c:pt idx="169" formatCode="General">
                  <c:v>1.0220400000000001</c:v>
                </c:pt>
                <c:pt idx="170" formatCode="General">
                  <c:v>1.02806</c:v>
                </c:pt>
                <c:pt idx="171" formatCode="General">
                  <c:v>1.03407</c:v>
                </c:pt>
                <c:pt idx="172" formatCode="General">
                  <c:v>1.0400799999999999</c:v>
                </c:pt>
                <c:pt idx="173" formatCode="General">
                  <c:v>1.04609</c:v>
                </c:pt>
                <c:pt idx="174" formatCode="General">
                  <c:v>1.0521</c:v>
                </c:pt>
                <c:pt idx="175" formatCode="General">
                  <c:v>1.0581199999999999</c:v>
                </c:pt>
                <c:pt idx="176" formatCode="General">
                  <c:v>1.06413</c:v>
                </c:pt>
                <c:pt idx="177" formatCode="General">
                  <c:v>1.0701400000000001</c:v>
                </c:pt>
                <c:pt idx="178" formatCode="General">
                  <c:v>1.0761499999999999</c:v>
                </c:pt>
                <c:pt idx="179" formatCode="General">
                  <c:v>1.08216</c:v>
                </c:pt>
                <c:pt idx="180" formatCode="General">
                  <c:v>1.0881799999999999</c:v>
                </c:pt>
                <c:pt idx="181" formatCode="General">
                  <c:v>1.09419</c:v>
                </c:pt>
                <c:pt idx="182" formatCode="General">
                  <c:v>1.1002000000000001</c:v>
                </c:pt>
                <c:pt idx="183" formatCode="General">
                  <c:v>1.1062099999999999</c:v>
                </c:pt>
                <c:pt idx="184" formatCode="General">
                  <c:v>1.11222</c:v>
                </c:pt>
                <c:pt idx="185" formatCode="General">
                  <c:v>1.1182399999999999</c:v>
                </c:pt>
                <c:pt idx="186" formatCode="General">
                  <c:v>1.12425</c:v>
                </c:pt>
                <c:pt idx="187" formatCode="General">
                  <c:v>1.13026</c:v>
                </c:pt>
                <c:pt idx="188" formatCode="General">
                  <c:v>1.1362699999999999</c:v>
                </c:pt>
                <c:pt idx="189" formatCode="General">
                  <c:v>1.14228</c:v>
                </c:pt>
                <c:pt idx="190" formatCode="General">
                  <c:v>1.1483000000000001</c:v>
                </c:pt>
                <c:pt idx="191" formatCode="General">
                  <c:v>1.1543099999999999</c:v>
                </c:pt>
                <c:pt idx="192" formatCode="General">
                  <c:v>1.16032</c:v>
                </c:pt>
                <c:pt idx="193" formatCode="General">
                  <c:v>1.1663300000000001</c:v>
                </c:pt>
                <c:pt idx="194" formatCode="General">
                  <c:v>1.1723399999999999</c:v>
                </c:pt>
                <c:pt idx="195" formatCode="General">
                  <c:v>1.1783600000000001</c:v>
                </c:pt>
                <c:pt idx="196" formatCode="General">
                  <c:v>1.1843699999999999</c:v>
                </c:pt>
                <c:pt idx="197" formatCode="General">
                  <c:v>1.19038</c:v>
                </c:pt>
                <c:pt idx="198" formatCode="General">
                  <c:v>1.1963900000000001</c:v>
                </c:pt>
                <c:pt idx="199" formatCode="General">
                  <c:v>1.2023999999999999</c:v>
                </c:pt>
                <c:pt idx="200" formatCode="General">
                  <c:v>1.20842</c:v>
                </c:pt>
                <c:pt idx="201" formatCode="General">
                  <c:v>1.2144299999999999</c:v>
                </c:pt>
                <c:pt idx="202" formatCode="General">
                  <c:v>1.22044</c:v>
                </c:pt>
                <c:pt idx="203" formatCode="General">
                  <c:v>1.22645</c:v>
                </c:pt>
                <c:pt idx="204" formatCode="General">
                  <c:v>1.2324600000000001</c:v>
                </c:pt>
                <c:pt idx="205" formatCode="General">
                  <c:v>1.23848</c:v>
                </c:pt>
                <c:pt idx="206" formatCode="General">
                  <c:v>1.2444900000000001</c:v>
                </c:pt>
                <c:pt idx="207" formatCode="General">
                  <c:v>1.2504999999999999</c:v>
                </c:pt>
                <c:pt idx="208" formatCode="General">
                  <c:v>1.25651</c:v>
                </c:pt>
                <c:pt idx="209" formatCode="General">
                  <c:v>1.2625200000000001</c:v>
                </c:pt>
                <c:pt idx="210" formatCode="General">
                  <c:v>1.26854</c:v>
                </c:pt>
                <c:pt idx="211" formatCode="General">
                  <c:v>1.2745500000000001</c:v>
                </c:pt>
                <c:pt idx="212" formatCode="General">
                  <c:v>1.2805599999999999</c:v>
                </c:pt>
                <c:pt idx="213" formatCode="General">
                  <c:v>1.28657</c:v>
                </c:pt>
                <c:pt idx="214" formatCode="General">
                  <c:v>1.2925899999999999</c:v>
                </c:pt>
                <c:pt idx="215" formatCode="General">
                  <c:v>1.2986</c:v>
                </c:pt>
                <c:pt idx="216" formatCode="General">
                  <c:v>1.30461</c:v>
                </c:pt>
                <c:pt idx="217" formatCode="General">
                  <c:v>1.3106199999999999</c:v>
                </c:pt>
                <c:pt idx="218" formatCode="General">
                  <c:v>1.31663</c:v>
                </c:pt>
                <c:pt idx="219" formatCode="General">
                  <c:v>1.3226500000000001</c:v>
                </c:pt>
                <c:pt idx="220" formatCode="General">
                  <c:v>1.32866</c:v>
                </c:pt>
                <c:pt idx="221" formatCode="General">
                  <c:v>1.33467</c:v>
                </c:pt>
                <c:pt idx="222" formatCode="General">
                  <c:v>1.3406800000000001</c:v>
                </c:pt>
                <c:pt idx="223" formatCode="General">
                  <c:v>1.3466899999999999</c:v>
                </c:pt>
                <c:pt idx="224" formatCode="General">
                  <c:v>1.3527100000000001</c:v>
                </c:pt>
                <c:pt idx="225" formatCode="General">
                  <c:v>1.3587199999999999</c:v>
                </c:pt>
                <c:pt idx="226" formatCode="General">
                  <c:v>1.36473</c:v>
                </c:pt>
                <c:pt idx="227" formatCode="General">
                  <c:v>1.3707400000000001</c:v>
                </c:pt>
                <c:pt idx="228" formatCode="General">
                  <c:v>1.3767499999999999</c:v>
                </c:pt>
                <c:pt idx="229" formatCode="General">
                  <c:v>1.3827700000000001</c:v>
                </c:pt>
                <c:pt idx="230" formatCode="General">
                  <c:v>1.3887799999999999</c:v>
                </c:pt>
                <c:pt idx="231" formatCode="General">
                  <c:v>1.39479</c:v>
                </c:pt>
                <c:pt idx="232" formatCode="General">
                  <c:v>1.4008</c:v>
                </c:pt>
                <c:pt idx="233" formatCode="General">
                  <c:v>1.4068099999999999</c:v>
                </c:pt>
                <c:pt idx="234" formatCode="General">
                  <c:v>1.41283</c:v>
                </c:pt>
                <c:pt idx="235" formatCode="General">
                  <c:v>1.4188400000000001</c:v>
                </c:pt>
                <c:pt idx="236" formatCode="General">
                  <c:v>1.4248499999999999</c:v>
                </c:pt>
                <c:pt idx="237" formatCode="General">
                  <c:v>1.43086</c:v>
                </c:pt>
                <c:pt idx="238" formatCode="General">
                  <c:v>1.4368700000000001</c:v>
                </c:pt>
                <c:pt idx="239" formatCode="General">
                  <c:v>1.44289</c:v>
                </c:pt>
                <c:pt idx="240" formatCode="General">
                  <c:v>1.4489000000000001</c:v>
                </c:pt>
                <c:pt idx="241" formatCode="General">
                  <c:v>1.4549099999999999</c:v>
                </c:pt>
                <c:pt idx="242" formatCode="General">
                  <c:v>1.46092</c:v>
                </c:pt>
                <c:pt idx="243" formatCode="General">
                  <c:v>1.4669300000000001</c:v>
                </c:pt>
                <c:pt idx="244" formatCode="General">
                  <c:v>1.47295</c:v>
                </c:pt>
                <c:pt idx="245" formatCode="General">
                  <c:v>1.4789600000000001</c:v>
                </c:pt>
                <c:pt idx="246" formatCode="General">
                  <c:v>1.4849699999999999</c:v>
                </c:pt>
                <c:pt idx="247" formatCode="General">
                  <c:v>1.49098</c:v>
                </c:pt>
                <c:pt idx="248" formatCode="General">
                  <c:v>1.49699</c:v>
                </c:pt>
                <c:pt idx="249" formatCode="General">
                  <c:v>1.50301</c:v>
                </c:pt>
                <c:pt idx="250" formatCode="General">
                  <c:v>1.50902</c:v>
                </c:pt>
                <c:pt idx="251" formatCode="General">
                  <c:v>1.5150300000000001</c:v>
                </c:pt>
                <c:pt idx="252" formatCode="General">
                  <c:v>1.5210399999999999</c:v>
                </c:pt>
                <c:pt idx="253" formatCode="General">
                  <c:v>1.52705</c:v>
                </c:pt>
                <c:pt idx="254" formatCode="General">
                  <c:v>1.5330699999999999</c:v>
                </c:pt>
                <c:pt idx="255" formatCode="General">
                  <c:v>1.53908</c:v>
                </c:pt>
                <c:pt idx="256" formatCode="General">
                  <c:v>1.5450900000000001</c:v>
                </c:pt>
                <c:pt idx="257" formatCode="General">
                  <c:v>1.5510999999999999</c:v>
                </c:pt>
                <c:pt idx="258" formatCode="General">
                  <c:v>1.55711</c:v>
                </c:pt>
                <c:pt idx="259" formatCode="General">
                  <c:v>1.5631299999999999</c:v>
                </c:pt>
                <c:pt idx="260" formatCode="General">
                  <c:v>1.56914</c:v>
                </c:pt>
                <c:pt idx="261" formatCode="General">
                  <c:v>1.5751500000000001</c:v>
                </c:pt>
                <c:pt idx="262" formatCode="General">
                  <c:v>1.5811599999999999</c:v>
                </c:pt>
                <c:pt idx="263" formatCode="General">
                  <c:v>1.58717</c:v>
                </c:pt>
                <c:pt idx="264" formatCode="General">
                  <c:v>1.5931900000000001</c:v>
                </c:pt>
                <c:pt idx="265" formatCode="General">
                  <c:v>1.5992</c:v>
                </c:pt>
                <c:pt idx="266" formatCode="General">
                  <c:v>1.60521</c:v>
                </c:pt>
                <c:pt idx="267" formatCode="General">
                  <c:v>1.6112200000000001</c:v>
                </c:pt>
                <c:pt idx="268" formatCode="General">
                  <c:v>1.6172299999999999</c:v>
                </c:pt>
                <c:pt idx="269" formatCode="General">
                  <c:v>1.6232500000000001</c:v>
                </c:pt>
                <c:pt idx="270" formatCode="General">
                  <c:v>1.6292599999999999</c:v>
                </c:pt>
                <c:pt idx="271" formatCode="General">
                  <c:v>1.63527</c:v>
                </c:pt>
                <c:pt idx="272" formatCode="General">
                  <c:v>1.6412800000000001</c:v>
                </c:pt>
                <c:pt idx="273" formatCode="General">
                  <c:v>1.6472899999999999</c:v>
                </c:pt>
                <c:pt idx="274" formatCode="General">
                  <c:v>1.6533100000000001</c:v>
                </c:pt>
                <c:pt idx="275" formatCode="General">
                  <c:v>1.6593199999999999</c:v>
                </c:pt>
                <c:pt idx="276" formatCode="General">
                  <c:v>1.66533</c:v>
                </c:pt>
                <c:pt idx="277" formatCode="General">
                  <c:v>1.67134</c:v>
                </c:pt>
                <c:pt idx="278" formatCode="General">
                  <c:v>1.6773499999999999</c:v>
                </c:pt>
                <c:pt idx="279" formatCode="General">
                  <c:v>1.68337</c:v>
                </c:pt>
                <c:pt idx="280" formatCode="General">
                  <c:v>1.6893800000000001</c:v>
                </c:pt>
                <c:pt idx="281" formatCode="General">
                  <c:v>1.69539</c:v>
                </c:pt>
                <c:pt idx="282" formatCode="General">
                  <c:v>1.7014</c:v>
                </c:pt>
                <c:pt idx="283" formatCode="General">
                  <c:v>1.7074100000000001</c:v>
                </c:pt>
                <c:pt idx="284" formatCode="General">
                  <c:v>1.71343</c:v>
                </c:pt>
                <c:pt idx="285" formatCode="General">
                  <c:v>1.7194400000000001</c:v>
                </c:pt>
                <c:pt idx="286" formatCode="General">
                  <c:v>1.7254499999999999</c:v>
                </c:pt>
                <c:pt idx="287" formatCode="General">
                  <c:v>1.73146</c:v>
                </c:pt>
                <c:pt idx="288" formatCode="General">
                  <c:v>1.7374700000000001</c:v>
                </c:pt>
                <c:pt idx="289" formatCode="General">
                  <c:v>1.74349</c:v>
                </c:pt>
                <c:pt idx="290" formatCode="General">
                  <c:v>1.7495000000000001</c:v>
                </c:pt>
                <c:pt idx="291" formatCode="General">
                  <c:v>1.7555099999999999</c:v>
                </c:pt>
                <c:pt idx="292" formatCode="General">
                  <c:v>1.76152</c:v>
                </c:pt>
                <c:pt idx="293" formatCode="General">
                  <c:v>1.76753</c:v>
                </c:pt>
                <c:pt idx="294" formatCode="General">
                  <c:v>1.77355</c:v>
                </c:pt>
                <c:pt idx="295" formatCode="General">
                  <c:v>1.77956</c:v>
                </c:pt>
                <c:pt idx="296" formatCode="General">
                  <c:v>1.7855700000000001</c:v>
                </c:pt>
                <c:pt idx="297" formatCode="General">
                  <c:v>1.79158</c:v>
                </c:pt>
                <c:pt idx="298" formatCode="General">
                  <c:v>1.7976000000000001</c:v>
                </c:pt>
                <c:pt idx="299" formatCode="General">
                  <c:v>1.8036099999999999</c:v>
                </c:pt>
                <c:pt idx="300" formatCode="General">
                  <c:v>1.80962</c:v>
                </c:pt>
                <c:pt idx="301" formatCode="General">
                  <c:v>1.8156300000000001</c:v>
                </c:pt>
                <c:pt idx="302" formatCode="General">
                  <c:v>1.8216399999999999</c:v>
                </c:pt>
                <c:pt idx="303" formatCode="General">
                  <c:v>1.8276600000000001</c:v>
                </c:pt>
                <c:pt idx="304" formatCode="General">
                  <c:v>1.8336699999999999</c:v>
                </c:pt>
                <c:pt idx="305" formatCode="General">
                  <c:v>1.83968</c:v>
                </c:pt>
                <c:pt idx="306" formatCode="General">
                  <c:v>1.8456900000000001</c:v>
                </c:pt>
                <c:pt idx="307" formatCode="General">
                  <c:v>1.8516999999999999</c:v>
                </c:pt>
                <c:pt idx="308" formatCode="General">
                  <c:v>1.85772</c:v>
                </c:pt>
                <c:pt idx="309" formatCode="General">
                  <c:v>1.8637300000000001</c:v>
                </c:pt>
                <c:pt idx="310" formatCode="General">
                  <c:v>1.86974</c:v>
                </c:pt>
                <c:pt idx="311" formatCode="General">
                  <c:v>1.87575</c:v>
                </c:pt>
                <c:pt idx="312" formatCode="General">
                  <c:v>1.8817600000000001</c:v>
                </c:pt>
                <c:pt idx="313" formatCode="General">
                  <c:v>1.88778</c:v>
                </c:pt>
                <c:pt idx="314" formatCode="General">
                  <c:v>1.8937900000000001</c:v>
                </c:pt>
                <c:pt idx="315" formatCode="General">
                  <c:v>1.8997999999999999</c:v>
                </c:pt>
                <c:pt idx="316" formatCode="General">
                  <c:v>1.90581</c:v>
                </c:pt>
                <c:pt idx="317" formatCode="General">
                  <c:v>1.9118200000000001</c:v>
                </c:pt>
                <c:pt idx="318" formatCode="General">
                  <c:v>1.91784</c:v>
                </c:pt>
                <c:pt idx="319" formatCode="General">
                  <c:v>1.9238500000000001</c:v>
                </c:pt>
                <c:pt idx="320" formatCode="General">
                  <c:v>1.9298599999999999</c:v>
                </c:pt>
                <c:pt idx="321" formatCode="General">
                  <c:v>1.93587</c:v>
                </c:pt>
                <c:pt idx="322" formatCode="General">
                  <c:v>1.9418800000000001</c:v>
                </c:pt>
                <c:pt idx="323" formatCode="General">
                  <c:v>1.9479</c:v>
                </c:pt>
                <c:pt idx="324" formatCode="General">
                  <c:v>1.95391</c:v>
                </c:pt>
                <c:pt idx="325" formatCode="General">
                  <c:v>1.9599200000000001</c:v>
                </c:pt>
                <c:pt idx="326" formatCode="General">
                  <c:v>1.96593</c:v>
                </c:pt>
                <c:pt idx="327" formatCode="General">
                  <c:v>1.97194</c:v>
                </c:pt>
                <c:pt idx="328" formatCode="General">
                  <c:v>1.9779599999999999</c:v>
                </c:pt>
                <c:pt idx="329" formatCode="General">
                  <c:v>1.98397</c:v>
                </c:pt>
                <c:pt idx="330" formatCode="General">
                  <c:v>1.9899800000000001</c:v>
                </c:pt>
                <c:pt idx="331" formatCode="General">
                  <c:v>1.9959899999999999</c:v>
                </c:pt>
                <c:pt idx="332" formatCode="General">
                  <c:v>2.0019999999999998</c:v>
                </c:pt>
                <c:pt idx="333" formatCode="General">
                  <c:v>2.0080200000000001</c:v>
                </c:pt>
                <c:pt idx="334" formatCode="General">
                  <c:v>2.01403</c:v>
                </c:pt>
                <c:pt idx="335" formatCode="General">
                  <c:v>2.0200399999999998</c:v>
                </c:pt>
                <c:pt idx="336" formatCode="General">
                  <c:v>2.0260500000000001</c:v>
                </c:pt>
                <c:pt idx="337" formatCode="General">
                  <c:v>2.03206</c:v>
                </c:pt>
                <c:pt idx="338" formatCode="General">
                  <c:v>2.0380799999999999</c:v>
                </c:pt>
                <c:pt idx="339" formatCode="General">
                  <c:v>2.0440900000000002</c:v>
                </c:pt>
                <c:pt idx="340" formatCode="General">
                  <c:v>2.0501</c:v>
                </c:pt>
                <c:pt idx="341" formatCode="General">
                  <c:v>2.0561099999999999</c:v>
                </c:pt>
                <c:pt idx="342" formatCode="General">
                  <c:v>2.0621200000000002</c:v>
                </c:pt>
                <c:pt idx="343" formatCode="General">
                  <c:v>2.0681400000000001</c:v>
                </c:pt>
                <c:pt idx="344" formatCode="General">
                  <c:v>2.0741499999999999</c:v>
                </c:pt>
                <c:pt idx="345" formatCode="General">
                  <c:v>2.0801599999999998</c:v>
                </c:pt>
                <c:pt idx="346" formatCode="General">
                  <c:v>2.0861700000000001</c:v>
                </c:pt>
                <c:pt idx="347" formatCode="General">
                  <c:v>2.0921799999999999</c:v>
                </c:pt>
                <c:pt idx="348" formatCode="General">
                  <c:v>2.0981999999999998</c:v>
                </c:pt>
                <c:pt idx="349" formatCode="General">
                  <c:v>2.1042100000000001</c:v>
                </c:pt>
                <c:pt idx="350" formatCode="General">
                  <c:v>2.11022</c:v>
                </c:pt>
                <c:pt idx="351" formatCode="General">
                  <c:v>2.1162299999999998</c:v>
                </c:pt>
                <c:pt idx="352" formatCode="General">
                  <c:v>2.1222400000000001</c:v>
                </c:pt>
                <c:pt idx="353" formatCode="General">
                  <c:v>2.12826</c:v>
                </c:pt>
                <c:pt idx="354" formatCode="General">
                  <c:v>2.1342699999999999</c:v>
                </c:pt>
                <c:pt idx="355" formatCode="General">
                  <c:v>2.1402800000000002</c:v>
                </c:pt>
                <c:pt idx="356" formatCode="General">
                  <c:v>2.14629</c:v>
                </c:pt>
                <c:pt idx="357" formatCode="General">
                  <c:v>2.1522999999999999</c:v>
                </c:pt>
                <c:pt idx="358" formatCode="General">
                  <c:v>2.1583199999999998</c:v>
                </c:pt>
                <c:pt idx="359" formatCode="General">
                  <c:v>2.1643300000000001</c:v>
                </c:pt>
                <c:pt idx="360" formatCode="General">
                  <c:v>2.1703399999999999</c:v>
                </c:pt>
                <c:pt idx="361" formatCode="General">
                  <c:v>2.1763499999999998</c:v>
                </c:pt>
                <c:pt idx="362" formatCode="General">
                  <c:v>2.1823600000000001</c:v>
                </c:pt>
                <c:pt idx="363" formatCode="General">
                  <c:v>2.18838</c:v>
                </c:pt>
                <c:pt idx="364" formatCode="General">
                  <c:v>2.1943899999999998</c:v>
                </c:pt>
                <c:pt idx="365" formatCode="General">
                  <c:v>2.2004000000000001</c:v>
                </c:pt>
                <c:pt idx="366" formatCode="General">
                  <c:v>2.20641</c:v>
                </c:pt>
                <c:pt idx="367" formatCode="General">
                  <c:v>2.2124199999999998</c:v>
                </c:pt>
                <c:pt idx="368" formatCode="General">
                  <c:v>2.2184400000000002</c:v>
                </c:pt>
                <c:pt idx="369" formatCode="General">
                  <c:v>2.22445</c:v>
                </c:pt>
                <c:pt idx="370" formatCode="General">
                  <c:v>2.2304599999999999</c:v>
                </c:pt>
                <c:pt idx="371" formatCode="General">
                  <c:v>2.2364700000000002</c:v>
                </c:pt>
                <c:pt idx="372" formatCode="General">
                  <c:v>2.24248</c:v>
                </c:pt>
                <c:pt idx="373" formatCode="General">
                  <c:v>2.2484999999999999</c:v>
                </c:pt>
                <c:pt idx="374" formatCode="General">
                  <c:v>2.2545099999999998</c:v>
                </c:pt>
                <c:pt idx="375" formatCode="General">
                  <c:v>2.2605200000000001</c:v>
                </c:pt>
                <c:pt idx="376" formatCode="General">
                  <c:v>2.2665299999999999</c:v>
                </c:pt>
                <c:pt idx="377" formatCode="General">
                  <c:v>2.2725499999999998</c:v>
                </c:pt>
                <c:pt idx="378" formatCode="General">
                  <c:v>2.2785600000000001</c:v>
                </c:pt>
                <c:pt idx="379" formatCode="General">
                  <c:v>2.28457</c:v>
                </c:pt>
                <c:pt idx="380" formatCode="General">
                  <c:v>2.2905799999999998</c:v>
                </c:pt>
                <c:pt idx="381" formatCode="General">
                  <c:v>2.2965900000000001</c:v>
                </c:pt>
                <c:pt idx="382" formatCode="General">
                  <c:v>2.30261</c:v>
                </c:pt>
                <c:pt idx="383" formatCode="General">
                  <c:v>2.3086199999999999</c:v>
                </c:pt>
                <c:pt idx="384" formatCode="General">
                  <c:v>2.3146300000000002</c:v>
                </c:pt>
                <c:pt idx="385" formatCode="General">
                  <c:v>2.32064</c:v>
                </c:pt>
                <c:pt idx="386" formatCode="General">
                  <c:v>2.3266499999999999</c:v>
                </c:pt>
                <c:pt idx="387" formatCode="General">
                  <c:v>2.3326699999999998</c:v>
                </c:pt>
                <c:pt idx="388" formatCode="General">
                  <c:v>2.3386800000000001</c:v>
                </c:pt>
                <c:pt idx="389" formatCode="General">
                  <c:v>2.3446899999999999</c:v>
                </c:pt>
                <c:pt idx="390" formatCode="General">
                  <c:v>2.3506999999999998</c:v>
                </c:pt>
                <c:pt idx="391" formatCode="General">
                  <c:v>2.3567100000000001</c:v>
                </c:pt>
                <c:pt idx="392" formatCode="General">
                  <c:v>2.36273</c:v>
                </c:pt>
                <c:pt idx="393" formatCode="General">
                  <c:v>2.3687399999999998</c:v>
                </c:pt>
                <c:pt idx="394" formatCode="General">
                  <c:v>2.3747500000000001</c:v>
                </c:pt>
                <c:pt idx="395" formatCode="General">
                  <c:v>2.38076</c:v>
                </c:pt>
                <c:pt idx="396" formatCode="General">
                  <c:v>2.3867699999999998</c:v>
                </c:pt>
                <c:pt idx="397" formatCode="General">
                  <c:v>2.3927900000000002</c:v>
                </c:pt>
                <c:pt idx="398" formatCode="General">
                  <c:v>2.3988</c:v>
                </c:pt>
                <c:pt idx="399" formatCode="General">
                  <c:v>2.4048099999999999</c:v>
                </c:pt>
                <c:pt idx="400" formatCode="General">
                  <c:v>2.4108200000000002</c:v>
                </c:pt>
                <c:pt idx="401" formatCode="General">
                  <c:v>2.41683</c:v>
                </c:pt>
                <c:pt idx="402" formatCode="General">
                  <c:v>2.4228499999999999</c:v>
                </c:pt>
                <c:pt idx="403" formatCode="General">
                  <c:v>2.4288599999999998</c:v>
                </c:pt>
                <c:pt idx="404" formatCode="General">
                  <c:v>2.4348700000000001</c:v>
                </c:pt>
                <c:pt idx="405" formatCode="General">
                  <c:v>2.4408799999999999</c:v>
                </c:pt>
                <c:pt idx="406" formatCode="General">
                  <c:v>2.4468899999999998</c:v>
                </c:pt>
                <c:pt idx="407" formatCode="General">
                  <c:v>2.4529100000000001</c:v>
                </c:pt>
                <c:pt idx="408" formatCode="General">
                  <c:v>2.45892</c:v>
                </c:pt>
                <c:pt idx="409" formatCode="General">
                  <c:v>2.4649299999999998</c:v>
                </c:pt>
                <c:pt idx="410" formatCode="General">
                  <c:v>2.4709400000000001</c:v>
                </c:pt>
                <c:pt idx="411" formatCode="General">
                  <c:v>2.47695</c:v>
                </c:pt>
                <c:pt idx="412" formatCode="General">
                  <c:v>2.4829699999999999</c:v>
                </c:pt>
                <c:pt idx="413" formatCode="General">
                  <c:v>2.4889800000000002</c:v>
                </c:pt>
                <c:pt idx="414" formatCode="General">
                  <c:v>2.49499</c:v>
                </c:pt>
                <c:pt idx="415" formatCode="General">
                  <c:v>2.5009999999999999</c:v>
                </c:pt>
                <c:pt idx="416" formatCode="General">
                  <c:v>2.5070100000000002</c:v>
                </c:pt>
                <c:pt idx="417" formatCode="General">
                  <c:v>2.5130300000000001</c:v>
                </c:pt>
                <c:pt idx="418" formatCode="General">
                  <c:v>2.5190399999999999</c:v>
                </c:pt>
                <c:pt idx="419" formatCode="General">
                  <c:v>2.5250499999999998</c:v>
                </c:pt>
                <c:pt idx="420" formatCode="General">
                  <c:v>2.5310600000000001</c:v>
                </c:pt>
                <c:pt idx="421" formatCode="General">
                  <c:v>2.5370699999999999</c:v>
                </c:pt>
                <c:pt idx="422" formatCode="General">
                  <c:v>2.5430899999999999</c:v>
                </c:pt>
                <c:pt idx="423" formatCode="General">
                  <c:v>2.5491000000000001</c:v>
                </c:pt>
                <c:pt idx="424" formatCode="General">
                  <c:v>2.55511</c:v>
                </c:pt>
                <c:pt idx="425" formatCode="General">
                  <c:v>2.5611199999999998</c:v>
                </c:pt>
                <c:pt idx="426" formatCode="General">
                  <c:v>2.5671300000000001</c:v>
                </c:pt>
                <c:pt idx="427" formatCode="General">
                  <c:v>2.57315</c:v>
                </c:pt>
                <c:pt idx="428" formatCode="General">
                  <c:v>2.5791599999999999</c:v>
                </c:pt>
                <c:pt idx="429" formatCode="General">
                  <c:v>2.5851700000000002</c:v>
                </c:pt>
                <c:pt idx="430" formatCode="General">
                  <c:v>2.59118</c:v>
                </c:pt>
                <c:pt idx="431" formatCode="General">
                  <c:v>2.5971899999999999</c:v>
                </c:pt>
                <c:pt idx="432" formatCode="General">
                  <c:v>2.6032099999999998</c:v>
                </c:pt>
                <c:pt idx="433" formatCode="General">
                  <c:v>2.6092200000000001</c:v>
                </c:pt>
                <c:pt idx="434" formatCode="General">
                  <c:v>2.6152299999999999</c:v>
                </c:pt>
                <c:pt idx="435" formatCode="General">
                  <c:v>2.6212399999999998</c:v>
                </c:pt>
                <c:pt idx="436" formatCode="General">
                  <c:v>2.6272500000000001</c:v>
                </c:pt>
                <c:pt idx="437" formatCode="General">
                  <c:v>2.63327</c:v>
                </c:pt>
                <c:pt idx="438" formatCode="General">
                  <c:v>2.6392799999999998</c:v>
                </c:pt>
                <c:pt idx="439" formatCode="General">
                  <c:v>2.6452900000000001</c:v>
                </c:pt>
                <c:pt idx="440" formatCode="General">
                  <c:v>2.6513</c:v>
                </c:pt>
                <c:pt idx="441" formatCode="General">
                  <c:v>2.6573099999999998</c:v>
                </c:pt>
                <c:pt idx="442" formatCode="General">
                  <c:v>2.6633300000000002</c:v>
                </c:pt>
                <c:pt idx="443" formatCode="General">
                  <c:v>2.66934</c:v>
                </c:pt>
                <c:pt idx="444" formatCode="General">
                  <c:v>2.6753499999999999</c:v>
                </c:pt>
                <c:pt idx="445" formatCode="General">
                  <c:v>2.6813600000000002</c:v>
                </c:pt>
                <c:pt idx="446" formatCode="General">
                  <c:v>2.68737</c:v>
                </c:pt>
                <c:pt idx="447" formatCode="General">
                  <c:v>2.69339</c:v>
                </c:pt>
                <c:pt idx="448" formatCode="General">
                  <c:v>2.6993999999999998</c:v>
                </c:pt>
                <c:pt idx="449" formatCode="General">
                  <c:v>2.7054100000000001</c:v>
                </c:pt>
                <c:pt idx="450" formatCode="General">
                  <c:v>2.7114199999999999</c:v>
                </c:pt>
                <c:pt idx="451" formatCode="General">
                  <c:v>2.7174299999999998</c:v>
                </c:pt>
                <c:pt idx="452" formatCode="General">
                  <c:v>2.7234500000000001</c:v>
                </c:pt>
                <c:pt idx="453" formatCode="General">
                  <c:v>2.72946</c:v>
                </c:pt>
                <c:pt idx="454" formatCode="General">
                  <c:v>2.7354699999999998</c:v>
                </c:pt>
                <c:pt idx="455" formatCode="General">
                  <c:v>2.7414800000000001</c:v>
                </c:pt>
                <c:pt idx="456" formatCode="General">
                  <c:v>2.74749</c:v>
                </c:pt>
                <c:pt idx="457" formatCode="General">
                  <c:v>2.7535099999999999</c:v>
                </c:pt>
                <c:pt idx="458" formatCode="General">
                  <c:v>2.7595200000000002</c:v>
                </c:pt>
                <c:pt idx="459" formatCode="General">
                  <c:v>2.76553</c:v>
                </c:pt>
                <c:pt idx="460" formatCode="General">
                  <c:v>2.7715399999999999</c:v>
                </c:pt>
                <c:pt idx="461" formatCode="General">
                  <c:v>2.7775500000000002</c:v>
                </c:pt>
                <c:pt idx="462" formatCode="General">
                  <c:v>2.7835700000000001</c:v>
                </c:pt>
                <c:pt idx="463" formatCode="General">
                  <c:v>2.7895799999999999</c:v>
                </c:pt>
                <c:pt idx="464" formatCode="General">
                  <c:v>2.7955899999999998</c:v>
                </c:pt>
                <c:pt idx="465" formatCode="General">
                  <c:v>2.8016000000000001</c:v>
                </c:pt>
                <c:pt idx="466" formatCode="General">
                  <c:v>2.80762</c:v>
                </c:pt>
                <c:pt idx="467" formatCode="General">
                  <c:v>2.8136299999999999</c:v>
                </c:pt>
                <c:pt idx="468" formatCode="General">
                  <c:v>2.8196400000000001</c:v>
                </c:pt>
                <c:pt idx="469" formatCode="General">
                  <c:v>2.82565</c:v>
                </c:pt>
                <c:pt idx="470" formatCode="General">
                  <c:v>2.8316599999999998</c:v>
                </c:pt>
                <c:pt idx="471" formatCode="General">
                  <c:v>2.8376800000000002</c:v>
                </c:pt>
                <c:pt idx="472" formatCode="General">
                  <c:v>2.8436900000000001</c:v>
                </c:pt>
                <c:pt idx="473" formatCode="General">
                  <c:v>2.8496999999999999</c:v>
                </c:pt>
                <c:pt idx="474" formatCode="General">
                  <c:v>2.8557100000000002</c:v>
                </c:pt>
                <c:pt idx="475" formatCode="General">
                  <c:v>2.86172</c:v>
                </c:pt>
                <c:pt idx="476" formatCode="General">
                  <c:v>2.86774</c:v>
                </c:pt>
                <c:pt idx="477" formatCode="General">
                  <c:v>2.8737499999999998</c:v>
                </c:pt>
                <c:pt idx="478" formatCode="General">
                  <c:v>2.8797600000000001</c:v>
                </c:pt>
                <c:pt idx="479" formatCode="General">
                  <c:v>2.8857699999999999</c:v>
                </c:pt>
                <c:pt idx="480" formatCode="General">
                  <c:v>2.8917799999999998</c:v>
                </c:pt>
                <c:pt idx="481" formatCode="General">
                  <c:v>2.8978000000000002</c:v>
                </c:pt>
                <c:pt idx="482" formatCode="General">
                  <c:v>2.90381</c:v>
                </c:pt>
                <c:pt idx="483" formatCode="General">
                  <c:v>2.9098199999999999</c:v>
                </c:pt>
                <c:pt idx="484" formatCode="General">
                  <c:v>2.9158300000000001</c:v>
                </c:pt>
                <c:pt idx="485" formatCode="General">
                  <c:v>2.92184</c:v>
                </c:pt>
                <c:pt idx="486" formatCode="General">
                  <c:v>2.9278599999999999</c:v>
                </c:pt>
                <c:pt idx="487" formatCode="General">
                  <c:v>2.9338700000000002</c:v>
                </c:pt>
                <c:pt idx="488" formatCode="General">
                  <c:v>2.93988</c:v>
                </c:pt>
                <c:pt idx="489" formatCode="General">
                  <c:v>2.9458899999999999</c:v>
                </c:pt>
                <c:pt idx="490" formatCode="General">
                  <c:v>2.9519000000000002</c:v>
                </c:pt>
                <c:pt idx="491" formatCode="General">
                  <c:v>2.9579200000000001</c:v>
                </c:pt>
                <c:pt idx="492" formatCode="General">
                  <c:v>2.96393</c:v>
                </c:pt>
                <c:pt idx="493" formatCode="General">
                  <c:v>2.9699399999999998</c:v>
                </c:pt>
                <c:pt idx="494" formatCode="General">
                  <c:v>2.9759500000000001</c:v>
                </c:pt>
                <c:pt idx="495" formatCode="General">
                  <c:v>2.9819599999999999</c:v>
                </c:pt>
                <c:pt idx="496" formatCode="General">
                  <c:v>2.9879799999999999</c:v>
                </c:pt>
                <c:pt idx="497" formatCode="General">
                  <c:v>2.9939900000000002</c:v>
                </c:pt>
                <c:pt idx="498" formatCode="General">
                  <c:v>3</c:v>
                </c:pt>
              </c:numCache>
            </c:numRef>
          </c:xVal>
          <c:yVal>
            <c:numRef>
              <c:f>Tool!$F$5:$F$503</c:f>
              <c:numCache>
                <c:formatCode>0.00E+00</c:formatCode>
                <c:ptCount val="499"/>
                <c:pt idx="0">
                  <c:v>2.6146361046173031E-2</c:v>
                </c:pt>
                <c:pt idx="1">
                  <c:v>5.2121065627497305E-2</c:v>
                </c:pt>
                <c:pt idx="2">
                  <c:v>7.792455099469886E-2</c:v>
                </c:pt>
                <c:pt idx="3">
                  <c:v>0.10355704341909772</c:v>
                </c:pt>
                <c:pt idx="4">
                  <c:v>0.12901843012533812</c:v>
                </c:pt>
                <c:pt idx="5">
                  <c:v>0.15430836056037375</c:v>
                </c:pt>
                <c:pt idx="6">
                  <c:v>0.17942616881658771</c:v>
                </c:pt>
                <c:pt idx="7">
                  <c:v>0.20437116587182233</c:v>
                </c:pt>
                <c:pt idx="8">
                  <c:v>0.22914197769424752</c:v>
                </c:pt>
                <c:pt idx="9">
                  <c:v>0.25373707228909126</c:v>
                </c:pt>
                <c:pt idx="10">
                  <c:v>0.27815505323045103</c:v>
                </c:pt>
                <c:pt idx="11">
                  <c:v>0.30239360170396717</c:v>
                </c:pt>
                <c:pt idx="12">
                  <c:v>0.32645066064383399</c:v>
                </c:pt>
                <c:pt idx="13">
                  <c:v>0.35032314479042304</c:v>
                </c:pt>
                <c:pt idx="14">
                  <c:v>0.37400794324309156</c:v>
                </c:pt>
                <c:pt idx="15">
                  <c:v>0.39750213328119993</c:v>
                </c:pt>
                <c:pt idx="16">
                  <c:v>0.42079955581051676</c:v>
                </c:pt>
                <c:pt idx="17">
                  <c:v>0.4438998084093766</c:v>
                </c:pt>
                <c:pt idx="18">
                  <c:v>0.46679649382432414</c:v>
                </c:pt>
                <c:pt idx="19">
                  <c:v>0.48948384074325835</c:v>
                </c:pt>
                <c:pt idx="20">
                  <c:v>0.51196071000181709</c:v>
                </c:pt>
                <c:pt idx="21">
                  <c:v>0.53421288937051337</c:v>
                </c:pt>
                <c:pt idx="22">
                  <c:v>0.55623734057296947</c:v>
                </c:pt>
                <c:pt idx="23">
                  <c:v>0.57802580023158345</c:v>
                </c:pt>
                <c:pt idx="24">
                  <c:v>0.59957068702445016</c:v>
                </c:pt>
                <c:pt idx="25">
                  <c:v>0.62086263583487633</c:v>
                </c:pt>
                <c:pt idx="26">
                  <c:v>0.6418909437053697</c:v>
                </c:pt>
                <c:pt idx="27">
                  <c:v>0.66264490769269235</c:v>
                </c:pt>
                <c:pt idx="28">
                  <c:v>0.68311243454984338</c:v>
                </c:pt>
                <c:pt idx="29">
                  <c:v>0.70327990956592634</c:v>
                </c:pt>
                <c:pt idx="30">
                  <c:v>0.72313125220199692</c:v>
                </c:pt>
                <c:pt idx="31">
                  <c:v>0.74265101151586499</c:v>
                </c:pt>
                <c:pt idx="32">
                  <c:v>0.76182030014232693</c:v>
                </c:pt>
                <c:pt idx="33">
                  <c:v>0.78061818461345045</c:v>
                </c:pt>
                <c:pt idx="34">
                  <c:v>0.79902155419936594</c:v>
                </c:pt>
                <c:pt idx="35">
                  <c:v>0.81700498974926972</c:v>
                </c:pt>
                <c:pt idx="36">
                  <c:v>0.83453966193568174</c:v>
                </c:pt>
                <c:pt idx="37">
                  <c:v>0.85159107527729072</c:v>
                </c:pt>
                <c:pt idx="38">
                  <c:v>0.86812468186643843</c:v>
                </c:pt>
                <c:pt idx="39">
                  <c:v>0.88409565076035301</c:v>
                </c:pt>
                <c:pt idx="40">
                  <c:v>0.89945642290367533</c:v>
                </c:pt>
                <c:pt idx="41">
                  <c:v>0.91415230410281667</c:v>
                </c:pt>
                <c:pt idx="42">
                  <c:v>0.92811755642094451</c:v>
                </c:pt>
                <c:pt idx="43">
                  <c:v>0.94127678850441887</c:v>
                </c:pt>
                <c:pt idx="44">
                  <c:v>0.95354193888122618</c:v>
                </c:pt>
                <c:pt idx="45">
                  <c:v>0.96481015116202185</c:v>
                </c:pt>
                <c:pt idx="46">
                  <c:v>0.97495532726387812</c:v>
                </c:pt>
                <c:pt idx="47">
                  <c:v>0.98382880947992557</c:v>
                </c:pt>
                <c:pt idx="48">
                  <c:v>0.99124880890373479</c:v>
                </c:pt>
                <c:pt idx="49">
                  <c:v>0.99699135534153061</c:v>
                </c:pt>
                <c:pt idx="50">
                  <c:v>1.0007791224258846</c:v>
                </c:pt>
                <c:pt idx="51">
                  <c:v>1.0022597598464555</c:v>
                </c:pt>
                <c:pt idx="52">
                  <c:v>1.0009835698090017</c:v>
                </c:pt>
                <c:pt idx="53">
                  <c:v>0.99636654594122043</c:v>
                </c:pt>
                <c:pt idx="54">
                  <c:v>0.98763423649643689</c:v>
                </c:pt>
                <c:pt idx="55">
                  <c:v>0.97375175703312866</c:v>
                </c:pt>
                <c:pt idx="56">
                  <c:v>0.95331343182471295</c:v>
                </c:pt>
                <c:pt idx="57">
                  <c:v>0.92442739886624481</c:v>
                </c:pt>
                <c:pt idx="58">
                  <c:v>0.88465299427246824</c:v>
                </c:pt>
                <c:pt idx="59">
                  <c:v>0.831257959751588</c:v>
                </c:pt>
                <c:pt idx="60">
                  <c:v>0.76254998907156724</c:v>
                </c:pt>
                <c:pt idx="61">
                  <c:v>0.68087417346128776</c:v>
                </c:pt>
                <c:pt idx="62">
                  <c:v>0.59465317354497294</c:v>
                </c:pt>
                <c:pt idx="63">
                  <c:v>0.51408806486363579</c:v>
                </c:pt>
                <c:pt idx="64">
                  <c:v>0.44480981677726678</c:v>
                </c:pt>
                <c:pt idx="65">
                  <c:v>0.38743626625892075</c:v>
                </c:pt>
                <c:pt idx="66">
                  <c:v>0.3403493992448301</c:v>
                </c:pt>
                <c:pt idx="67">
                  <c:v>0.30153897975435912</c:v>
                </c:pt>
                <c:pt idx="68">
                  <c:v>0.26925337131494764</c:v>
                </c:pt>
                <c:pt idx="69">
                  <c:v>0.24210813782125762</c:v>
                </c:pt>
                <c:pt idx="70">
                  <c:v>0.2190505508210378</c:v>
                </c:pt>
                <c:pt idx="71">
                  <c:v>0.19927089802288778</c:v>
                </c:pt>
                <c:pt idx="72">
                  <c:v>0.18215870117101002</c:v>
                </c:pt>
                <c:pt idx="73">
                  <c:v>0.16723628673480623</c:v>
                </c:pt>
                <c:pt idx="74">
                  <c:v>0.1541292063312994</c:v>
                </c:pt>
                <c:pt idx="75">
                  <c:v>0.14254193510958171</c:v>
                </c:pt>
                <c:pt idx="76">
                  <c:v>0.1322468908557865</c:v>
                </c:pt>
                <c:pt idx="77">
                  <c:v>0.12304744554765353</c:v>
                </c:pt>
                <c:pt idx="78">
                  <c:v>0.11477772961414574</c:v>
                </c:pt>
                <c:pt idx="79">
                  <c:v>0.10733726088094071</c:v>
                </c:pt>
                <c:pt idx="80">
                  <c:v>0.10059607479314822</c:v>
                </c:pt>
                <c:pt idx="81">
                  <c:v>9.4456059009777965E-2</c:v>
                </c:pt>
                <c:pt idx="82">
                  <c:v>8.8896126552665669E-2</c:v>
                </c:pt>
                <c:pt idx="83">
                  <c:v>8.377044651400728E-2</c:v>
                </c:pt>
                <c:pt idx="84">
                  <c:v>7.9095777077423601E-2</c:v>
                </c:pt>
                <c:pt idx="85">
                  <c:v>7.4808035532514527E-2</c:v>
                </c:pt>
                <c:pt idx="86">
                  <c:v>7.0803733755401971E-2</c:v>
                </c:pt>
                <c:pt idx="87">
                  <c:v>6.7193044661071136E-2</c:v>
                </c:pt>
                <c:pt idx="88">
                  <c:v>6.3742301446567118E-2</c:v>
                </c:pt>
                <c:pt idx="89">
                  <c:v>6.064615698601912E-2</c:v>
                </c:pt>
                <c:pt idx="90">
                  <c:v>5.76877035190679E-2</c:v>
                </c:pt>
                <c:pt idx="91">
                  <c:v>5.4971096326903821E-2</c:v>
                </c:pt>
                <c:pt idx="92">
                  <c:v>5.2452470834706513E-2</c:v>
                </c:pt>
                <c:pt idx="93">
                  <c:v>5.0025212519935178E-2</c:v>
                </c:pt>
                <c:pt idx="94">
                  <c:v>4.7885689523653442E-2</c:v>
                </c:pt>
                <c:pt idx="95">
                  <c:v>4.5696192508984421E-2</c:v>
                </c:pt>
                <c:pt idx="96">
                  <c:v>4.3871059960373021E-2</c:v>
                </c:pt>
                <c:pt idx="97">
                  <c:v>4.1889921155294843E-2</c:v>
                </c:pt>
                <c:pt idx="98">
                  <c:v>4.0320004994015231E-2</c:v>
                </c:pt>
                <c:pt idx="99">
                  <c:v>3.8526535898183389E-2</c:v>
                </c:pt>
                <c:pt idx="100">
                  <c:v>3.7164094865653745E-2</c:v>
                </c:pt>
                <c:pt idx="101">
                  <c:v>3.5538760458177568E-2</c:v>
                </c:pt>
                <c:pt idx="102">
                  <c:v>3.4348875038544391E-2</c:v>
                </c:pt>
                <c:pt idx="103">
                  <c:v>3.2870495618440659E-2</c:v>
                </c:pt>
                <c:pt idx="104">
                  <c:v>3.1829781848663301E-2</c:v>
                </c:pt>
                <c:pt idx="105">
                  <c:v>3.0475428451094595E-2</c:v>
                </c:pt>
                <c:pt idx="106">
                  <c:v>2.956951960732708E-2</c:v>
                </c:pt>
                <c:pt idx="107">
                  <c:v>2.8315352281115019E-2</c:v>
                </c:pt>
                <c:pt idx="108">
                  <c:v>2.7536203720686461E-2</c:v>
                </c:pt>
                <c:pt idx="109">
                  <c:v>2.6358993231280763E-2</c:v>
                </c:pt>
                <c:pt idx="110">
                  <c:v>2.5702129836348807E-2</c:v>
                </c:pt>
                <c:pt idx="111">
                  <c:v>2.4581051344013925E-2</c:v>
                </c:pt>
                <c:pt idx="112">
                  <c:v>2.4042465804747729E-2</c:v>
                </c:pt>
                <c:pt idx="113">
                  <c:v>2.2961520735348243E-2</c:v>
                </c:pt>
                <c:pt idx="114">
                  <c:v>2.2534304494571993E-2</c:v>
                </c:pt>
                <c:pt idx="115">
                  <c:v>2.1485406479976498E-2</c:v>
                </c:pt>
                <c:pt idx="116">
                  <c:v>2.1155737648210857E-2</c:v>
                </c:pt>
                <c:pt idx="117">
                  <c:v>2.0142064599402272E-2</c:v>
                </c:pt>
                <c:pt idx="118">
                  <c:v>1.988574394874057E-2</c:v>
                </c:pt>
                <c:pt idx="119">
                  <c:v>1.8924419288572893E-2</c:v>
                </c:pt>
                <c:pt idx="120">
                  <c:v>1.8704476412655678E-2</c:v>
                </c:pt>
                <c:pt idx="121">
                  <c:v>1.7827188011302897E-2</c:v>
                </c:pt>
                <c:pt idx="122">
                  <c:v>1.7594732567160841E-2</c:v>
                </c:pt>
                <c:pt idx="123">
                  <c:v>1.6844682491850886E-2</c:v>
                </c:pt>
                <c:pt idx="124">
                  <c:v>1.6544069628779919E-2</c:v>
                </c:pt>
                <c:pt idx="125">
                  <c:v>1.596775225934878E-2</c:v>
                </c:pt>
                <c:pt idx="126">
                  <c:v>1.5547320645610829E-2</c:v>
                </c:pt>
                <c:pt idx="127">
                  <c:v>1.518119849091139E-2</c:v>
                </c:pt>
                <c:pt idx="128">
                  <c:v>1.4608424011507689E-2</c:v>
                </c:pt>
                <c:pt idx="129">
                  <c:v>1.4462321600198795E-2</c:v>
                </c:pt>
                <c:pt idx="130">
                  <c:v>1.3740186051018297E-2</c:v>
                </c:pt>
                <c:pt idx="131">
                  <c:v>1.3782587348731928E-2</c:v>
                </c:pt>
                <c:pt idx="132">
                  <c:v>1.2960941802467194E-2</c:v>
                </c:pt>
                <c:pt idx="133">
                  <c:v>1.3112327307072912E-2</c:v>
                </c:pt>
                <c:pt idx="134">
                  <c:v>1.2287563369752631E-2</c:v>
                </c:pt>
                <c:pt idx="135">
                  <c:v>1.2428973720622905E-2</c:v>
                </c:pt>
                <c:pt idx="136">
                  <c:v>1.1726515933566007E-2</c:v>
                </c:pt>
                <c:pt idx="137">
                  <c:v>1.1726004304527844E-2</c:v>
                </c:pt>
                <c:pt idx="138">
                  <c:v>1.126532649342438E-2</c:v>
                </c:pt>
                <c:pt idx="139">
                  <c:v>1.1019184196151152E-2</c:v>
                </c:pt>
                <c:pt idx="140">
                  <c:v>1.086952199974066E-2</c:v>
                </c:pt>
                <c:pt idx="141">
                  <c:v>1.0345643118562274E-2</c:v>
                </c:pt>
                <c:pt idx="142">
                  <c:v>1.0488095549608929E-2</c:v>
                </c:pt>
                <c:pt idx="143">
                  <c:v>9.7534566770632412E-3</c:v>
                </c:pt>
                <c:pt idx="144">
                  <c:v>1.0068269763891935E-2</c:v>
                </c:pt>
                <c:pt idx="145">
                  <c:v>9.2829167859637164E-3</c:v>
                </c:pt>
                <c:pt idx="146">
                  <c:v>9.5764500632858976E-3</c:v>
                </c:pt>
                <c:pt idx="147">
                  <c:v>8.945686275519853E-3</c:v>
                </c:pt>
                <c:pt idx="148">
                  <c:v>9.0162322268033494E-3</c:v>
                </c:pt>
                <c:pt idx="149">
                  <c:v>8.711740110721131E-3</c:v>
                </c:pt>
                <c:pt idx="150">
                  <c:v>8.4339938485359298E-3</c:v>
                </c:pt>
                <c:pt idx="151">
                  <c:v>8.5131560574413373E-3</c:v>
                </c:pt>
                <c:pt idx="152">
                  <c:v>7.9049471294081793E-3</c:v>
                </c:pt>
                <c:pt idx="153">
                  <c:v>8.2676510682680379E-3</c:v>
                </c:pt>
                <c:pt idx="154">
                  <c:v>7.501600992813477E-3</c:v>
                </c:pt>
                <c:pt idx="155">
                  <c:v>7.915117326030615E-3</c:v>
                </c:pt>
                <c:pt idx="156">
                  <c:v>7.2564358715888864E-3</c:v>
                </c:pt>
                <c:pt idx="157">
                  <c:v>7.4505317937878139E-3</c:v>
                </c:pt>
                <c:pt idx="158">
                  <c:v>7.1379503252959851E-3</c:v>
                </c:pt>
                <c:pt idx="159">
                  <c:v>6.9345197058901121E-3</c:v>
                </c:pt>
                <c:pt idx="160">
                  <c:v>7.0565853682467046E-3</c:v>
                </c:pt>
                <c:pt idx="161">
                  <c:v>6.4702222304039905E-3</c:v>
                </c:pt>
                <c:pt idx="162">
                  <c:v>6.9035668368518533E-3</c:v>
                </c:pt>
                <c:pt idx="163">
                  <c:v>6.1526879376585485E-3</c:v>
                </c:pt>
                <c:pt idx="164">
                  <c:v>6.6070599986213637E-3</c:v>
                </c:pt>
                <c:pt idx="165">
                  <c:v>6.0145713595191191E-3</c:v>
                </c:pt>
                <c:pt idx="166">
                  <c:v>6.1763598037676837E-3</c:v>
                </c:pt>
                <c:pt idx="167">
                  <c:v>5.9994428669131435E-3</c:v>
                </c:pt>
                <c:pt idx="168">
                  <c:v>5.7052626614535239E-3</c:v>
                </c:pt>
                <c:pt idx="169">
                  <c:v>5.9841587094378555E-3</c:v>
                </c:pt>
                <c:pt idx="170">
                  <c:v>5.3258340881865603E-3</c:v>
                </c:pt>
                <c:pt idx="171">
                  <c:v>5.8440975441930937E-3</c:v>
                </c:pt>
                <c:pt idx="172">
                  <c:v>5.132636849889227E-3</c:v>
                </c:pt>
                <c:pt idx="173">
                  <c:v>5.5275127291972634E-3</c:v>
                </c:pt>
                <c:pt idx="174">
                  <c:v>5.1214019161176794E-3</c:v>
                </c:pt>
                <c:pt idx="175">
                  <c:v>5.0936592758553667E-3</c:v>
                </c:pt>
                <c:pt idx="176">
                  <c:v>5.1824433167969048E-3</c:v>
                </c:pt>
                <c:pt idx="177">
                  <c:v>4.684447120856871E-3</c:v>
                </c:pt>
                <c:pt idx="178">
                  <c:v>5.1606948616143003E-3</c:v>
                </c:pt>
                <c:pt idx="179">
                  <c:v>4.4404030373964305E-3</c:v>
                </c:pt>
                <c:pt idx="180">
                  <c:v>4.9518272881344996E-3</c:v>
                </c:pt>
                <c:pt idx="181">
                  <c:v>4.4089898615415086E-3</c:v>
                </c:pt>
                <c:pt idx="182">
                  <c:v>4.5732411207599364E-3</c:v>
                </c:pt>
                <c:pt idx="183">
                  <c:v>4.5062954080608807E-3</c:v>
                </c:pt>
                <c:pt idx="184">
                  <c:v>4.1607514829150394E-3</c:v>
                </c:pt>
                <c:pt idx="185">
                  <c:v>4.5646128298276467E-3</c:v>
                </c:pt>
                <c:pt idx="186">
                  <c:v>3.8839826403648083E-3</c:v>
                </c:pt>
                <c:pt idx="187">
                  <c:v>4.4405776413749621E-3</c:v>
                </c:pt>
                <c:pt idx="188">
                  <c:v>3.8320515767713359E-3</c:v>
                </c:pt>
                <c:pt idx="189">
                  <c:v>4.1151410548563947E-3</c:v>
                </c:pt>
                <c:pt idx="190">
                  <c:v>3.9470216748121682E-3</c:v>
                </c:pt>
                <c:pt idx="191">
                  <c:v>3.7132467153431557E-3</c:v>
                </c:pt>
                <c:pt idx="192">
                  <c:v>4.0565812377921628E-3</c:v>
                </c:pt>
                <c:pt idx="193">
                  <c:v>3.4223958574215001E-3</c:v>
                </c:pt>
                <c:pt idx="194">
                  <c:v>3.9910654394628344E-3</c:v>
                </c:pt>
                <c:pt idx="195">
                  <c:v>3.3609884532235408E-3</c:v>
                </c:pt>
                <c:pt idx="196">
                  <c:v>3.7057281193063774E-3</c:v>
                </c:pt>
                <c:pt idx="197">
                  <c:v>3.4889183623470353E-3</c:v>
                </c:pt>
                <c:pt idx="198">
                  <c:v>3.3183496291713894E-3</c:v>
                </c:pt>
                <c:pt idx="199">
                  <c:v>3.6303151308416225E-3</c:v>
                </c:pt>
                <c:pt idx="200">
                  <c:v>3.0288431710378074E-3</c:v>
                </c:pt>
                <c:pt idx="201">
                  <c:v>3.5987596906423337E-3</c:v>
                </c:pt>
                <c:pt idx="202">
                  <c:v>2.97257280352267E-3</c:v>
                </c:pt>
                <c:pt idx="203">
                  <c:v>3.3364845093826036E-3</c:v>
                </c:pt>
                <c:pt idx="204">
                  <c:v>3.1158244742808846E-3</c:v>
                </c:pt>
                <c:pt idx="205">
                  <c:v>2.9626191749541468E-3</c:v>
                </c:pt>
                <c:pt idx="206">
                  <c:v>3.2756497138463495E-3</c:v>
                </c:pt>
                <c:pt idx="207">
                  <c:v>2.6871950638862299E-3</c:v>
                </c:pt>
                <c:pt idx="208">
                  <c:v>3.2561033495611745E-3</c:v>
                </c:pt>
                <c:pt idx="209">
                  <c:v>2.6511240076926967E-3</c:v>
                </c:pt>
                <c:pt idx="210">
                  <c:v>3.0002423358203639E-3</c:v>
                </c:pt>
                <c:pt idx="211">
                  <c:v>2.8139174493486251E-3</c:v>
                </c:pt>
                <c:pt idx="212">
                  <c:v>2.6382154587849369E-3</c:v>
                </c:pt>
                <c:pt idx="213">
                  <c:v>2.9806525623153374E-3</c:v>
                </c:pt>
                <c:pt idx="214">
                  <c:v>2.388921014096268E-3</c:v>
                </c:pt>
                <c:pt idx="215">
                  <c:v>2.9535351941321216E-3</c:v>
                </c:pt>
                <c:pt idx="216">
                  <c:v>2.3868025072730148E-3</c:v>
                </c:pt>
                <c:pt idx="217">
                  <c:v>2.6900768562783547E-3</c:v>
                </c:pt>
                <c:pt idx="218">
                  <c:v>2.5715074966325114E-3</c:v>
                </c:pt>
                <c:pt idx="219">
                  <c:v>2.3409511394271716E-3</c:v>
                </c:pt>
                <c:pt idx="220">
                  <c:v>2.7329340392208659E-3</c:v>
                </c:pt>
                <c:pt idx="221">
                  <c:v>2.1304708332543975E-3</c:v>
                </c:pt>
                <c:pt idx="222">
                  <c:v>2.6803605517263678E-3</c:v>
                </c:pt>
                <c:pt idx="223">
                  <c:v>2.1734694499977794E-3</c:v>
                </c:pt>
                <c:pt idx="224">
                  <c:v>2.4001653747324635E-3</c:v>
                </c:pt>
                <c:pt idx="225">
                  <c:v>2.3781705120748948E-3</c:v>
                </c:pt>
                <c:pt idx="226">
                  <c:v>2.0697251933259578E-3</c:v>
                </c:pt>
                <c:pt idx="227">
                  <c:v>2.5194377226767863E-3</c:v>
                </c:pt>
                <c:pt idx="228">
                  <c:v>1.9117243885527898E-3</c:v>
                </c:pt>
                <c:pt idx="229">
                  <c:v>2.4262448164873566E-3</c:v>
                </c:pt>
                <c:pt idx="230">
                  <c:v>2.0068359614473382E-3</c:v>
                </c:pt>
                <c:pt idx="231">
                  <c:v>2.1266575147747585E-3</c:v>
                </c:pt>
                <c:pt idx="232">
                  <c:v>2.2232930083878194E-3</c:v>
                </c:pt>
                <c:pt idx="233">
                  <c:v>1.8264427545643652E-3</c:v>
                </c:pt>
                <c:pt idx="234">
                  <c:v>2.3271673959306262E-3</c:v>
                </c:pt>
                <c:pt idx="235">
                  <c:v>1.7343691022075796E-3</c:v>
                </c:pt>
                <c:pt idx="236">
                  <c:v>2.1823080534312893E-3</c:v>
                </c:pt>
                <c:pt idx="237">
                  <c:v>1.8820951162498416E-3</c:v>
                </c:pt>
                <c:pt idx="238">
                  <c:v>1.8689435153437745E-3</c:v>
                </c:pt>
                <c:pt idx="239">
                  <c:v>2.0951363115854806E-3</c:v>
                </c:pt>
                <c:pt idx="240">
                  <c:v>1.6156024263301212E-3</c:v>
                </c:pt>
                <c:pt idx="241">
                  <c:v>2.143388286521324E-3</c:v>
                </c:pt>
                <c:pt idx="242">
                  <c:v>1.6000585371600806E-3</c:v>
                </c:pt>
                <c:pt idx="243">
                  <c:v>1.9428092291858164E-3</c:v>
                </c:pt>
                <c:pt idx="244">
                  <c:v>1.7924106302717438E-3</c:v>
                </c:pt>
                <c:pt idx="245">
                  <c:v>1.6302962746014738E-3</c:v>
                </c:pt>
                <c:pt idx="246">
                  <c:v>1.9803759053838841E-3</c:v>
                </c:pt>
                <c:pt idx="247">
                  <c:v>1.4433135330784326E-3</c:v>
                </c:pt>
                <c:pt idx="248">
                  <c:v>1.957207820342719E-3</c:v>
                </c:pt>
                <c:pt idx="249">
                  <c:v>1.5084866776301014E-3</c:v>
                </c:pt>
                <c:pt idx="250">
                  <c:v>1.7066063185375761E-3</c:v>
                </c:pt>
                <c:pt idx="251">
                  <c:v>1.7274501264839019E-3</c:v>
                </c:pt>
                <c:pt idx="252">
                  <c:v>1.4178590787460249E-3</c:v>
                </c:pt>
                <c:pt idx="253">
                  <c:v>1.8649762918479728E-3</c:v>
                </c:pt>
                <c:pt idx="254">
                  <c:v>1.3154484292548147E-3</c:v>
                </c:pt>
                <c:pt idx="255">
                  <c:v>1.7614453275994345E-3</c:v>
                </c:pt>
                <c:pt idx="256">
                  <c:v>1.4552424487343989E-3</c:v>
                </c:pt>
                <c:pt idx="257">
                  <c:v>1.4781164711740679E-3</c:v>
                </c:pt>
                <c:pt idx="258">
                  <c:v>1.6733539827640627E-3</c:v>
                </c:pt>
                <c:pt idx="259">
                  <c:v>1.2414138860673538E-3</c:v>
                </c:pt>
                <c:pt idx="260">
                  <c:v>1.7360389785902851E-3</c:v>
                </c:pt>
                <c:pt idx="261">
                  <c:v>1.2350028147913722E-3</c:v>
                </c:pt>
                <c:pt idx="262">
                  <c:v>1.5546348309789012E-3</c:v>
                </c:pt>
                <c:pt idx="263">
                  <c:v>1.4304881743988768E-3</c:v>
                </c:pt>
                <c:pt idx="264">
                  <c:v>1.2673648041196819E-3</c:v>
                </c:pt>
                <c:pt idx="265">
                  <c:v>1.6138809898485328E-3</c:v>
                </c:pt>
                <c:pt idx="266">
                  <c:v>1.1108202603360489E-3</c:v>
                </c:pt>
                <c:pt idx="267">
                  <c:v>1.5845631205917169E-3</c:v>
                </c:pt>
                <c:pt idx="268">
                  <c:v>1.1994720298432093E-3</c:v>
                </c:pt>
                <c:pt idx="269">
                  <c:v>1.3426529805604841E-3</c:v>
                </c:pt>
                <c:pt idx="270">
                  <c:v>1.4187378745571472E-3</c:v>
                </c:pt>
                <c:pt idx="271">
                  <c:v>1.0881760593724706E-3</c:v>
                </c:pt>
                <c:pt idx="272">
                  <c:v>1.533148779547377E-3</c:v>
                </c:pt>
                <c:pt idx="273">
                  <c:v>1.0325431423343153E-3</c:v>
                </c:pt>
                <c:pt idx="274">
                  <c:v>1.4085853751318318E-3</c:v>
                </c:pt>
                <c:pt idx="275">
                  <c:v>1.1988163401835973E-3</c:v>
                </c:pt>
                <c:pt idx="276">
                  <c:v>1.1386394314928381E-3</c:v>
                </c:pt>
                <c:pt idx="277">
                  <c:v>1.4004830791054755E-3</c:v>
                </c:pt>
                <c:pt idx="278">
                  <c:v>9.5493446965753492E-4</c:v>
                </c:pt>
                <c:pt idx="279">
                  <c:v>1.4197421172167776E-3</c:v>
                </c:pt>
                <c:pt idx="280">
                  <c:v>1.0058900000356516E-3</c:v>
                </c:pt>
                <c:pt idx="281">
                  <c:v>1.2152634327624516E-3</c:v>
                </c:pt>
                <c:pt idx="282">
                  <c:v>1.2152420074881081E-3</c:v>
                </c:pt>
                <c:pt idx="283">
                  <c:v>9.6095827195883982E-4</c:v>
                </c:pt>
                <c:pt idx="284">
                  <c:v>1.3562667175689711E-3</c:v>
                </c:pt>
                <c:pt idx="285">
                  <c:v>8.7775653023957516E-4</c:v>
                </c:pt>
                <c:pt idx="286">
                  <c:v>1.2706999640046302E-3</c:v>
                </c:pt>
                <c:pt idx="287">
                  <c:v>1.020462910566175E-3</c:v>
                </c:pt>
                <c:pt idx="288">
                  <c:v>1.0210174011274261E-3</c:v>
                </c:pt>
                <c:pt idx="289">
                  <c:v>1.2256978159428894E-3</c:v>
                </c:pt>
                <c:pt idx="290">
                  <c:v>8.2859683564281126E-4</c:v>
                </c:pt>
                <c:pt idx="291">
                  <c:v>1.2717379359200591E-3</c:v>
                </c:pt>
                <c:pt idx="292">
                  <c:v>8.5772065724892431E-4</c:v>
                </c:pt>
                <c:pt idx="293">
                  <c:v>1.0943967590114078E-3</c:v>
                </c:pt>
                <c:pt idx="294">
                  <c:v>1.0559366805445356E-3</c:v>
                </c:pt>
                <c:pt idx="295">
                  <c:v>8.4857431469621532E-4</c:v>
                </c:pt>
                <c:pt idx="296">
                  <c:v>1.2067892840624153E-3</c:v>
                </c:pt>
                <c:pt idx="297">
                  <c:v>7.5513472906708022E-4</c:v>
                </c:pt>
                <c:pt idx="298">
                  <c:v>1.1430353644987928E-3</c:v>
                </c:pt>
                <c:pt idx="299">
                  <c:v>8.8375885417708866E-4</c:v>
                </c:pt>
                <c:pt idx="300">
                  <c:v>9.1050746345835466E-4</c:v>
                </c:pt>
                <c:pt idx="301">
                  <c:v>1.0855222268086094E-3</c:v>
                </c:pt>
                <c:pt idx="302">
                  <c:v>7.2128753346448746E-4</c:v>
                </c:pt>
                <c:pt idx="303">
                  <c:v>1.1415831106042597E-3</c:v>
                </c:pt>
                <c:pt idx="304">
                  <c:v>7.4290065935465703E-4</c:v>
                </c:pt>
                <c:pt idx="305">
                  <c:v>9.800406583527863E-4</c:v>
                </c:pt>
                <c:pt idx="306">
                  <c:v>9.3277240865097992E-4</c:v>
                </c:pt>
                <c:pt idx="307">
                  <c:v>7.4601063584066015E-4</c:v>
                </c:pt>
                <c:pt idx="308">
                  <c:v>1.0823110586187874E-3</c:v>
                </c:pt>
                <c:pt idx="309">
                  <c:v>6.5547515295026788E-4</c:v>
                </c:pt>
                <c:pt idx="310">
                  <c:v>1.025932870810202E-3</c:v>
                </c:pt>
                <c:pt idx="311">
                  <c:v>7.7942389601747127E-4</c:v>
                </c:pt>
                <c:pt idx="312">
                  <c:v>8.058127640974118E-4</c:v>
                </c:pt>
                <c:pt idx="313">
                  <c:v>9.7426917216893107E-4</c:v>
                </c:pt>
                <c:pt idx="314">
                  <c:v>6.2783633750938285E-4</c:v>
                </c:pt>
                <c:pt idx="315">
                  <c:v>1.0275954649176719E-3</c:v>
                </c:pt>
                <c:pt idx="316">
                  <c:v>6.5357595766070181E-4</c:v>
                </c:pt>
                <c:pt idx="317">
                  <c:v>8.7198343800910935E-4</c:v>
                </c:pt>
                <c:pt idx="318">
                  <c:v>8.3841043619218355E-4</c:v>
                </c:pt>
                <c:pt idx="319">
                  <c:v>6.5134303209956343E-4</c:v>
                </c:pt>
                <c:pt idx="320">
                  <c:v>9.7858202067528524E-4</c:v>
                </c:pt>
                <c:pt idx="321">
                  <c:v>5.7377411192929167E-4</c:v>
                </c:pt>
                <c:pt idx="322">
                  <c:v>9.1822315011562264E-4</c:v>
                </c:pt>
                <c:pt idx="323">
                  <c:v>7.0066022443440517E-4</c:v>
                </c:pt>
                <c:pt idx="324">
                  <c:v>7.0662224398465568E-4</c:v>
                </c:pt>
                <c:pt idx="325">
                  <c:v>8.8597468958762527E-4</c:v>
                </c:pt>
                <c:pt idx="326">
                  <c:v>5.4608651573911124E-4</c:v>
                </c:pt>
                <c:pt idx="327">
                  <c:v>9.2668505301725021E-4</c:v>
                </c:pt>
                <c:pt idx="328">
                  <c:v>5.8485489480401235E-4</c:v>
                </c:pt>
                <c:pt idx="329">
                  <c:v>7.6968132707756353E-4</c:v>
                </c:pt>
                <c:pt idx="330">
                  <c:v>7.6675291194705172E-4</c:v>
                </c:pt>
                <c:pt idx="331">
                  <c:v>5.6429132771173066E-4</c:v>
                </c:pt>
                <c:pt idx="332">
                  <c:v>8.9077695955979135E-4</c:v>
                </c:pt>
                <c:pt idx="333">
                  <c:v>5.0762733037541244E-4</c:v>
                </c:pt>
                <c:pt idx="334">
                  <c:v>8.1798646391460295E-4</c:v>
                </c:pt>
                <c:pt idx="335">
                  <c:v>6.4245394958921571E-4</c:v>
                </c:pt>
                <c:pt idx="336">
                  <c:v>6.1304298744540566E-4</c:v>
                </c:pt>
                <c:pt idx="337">
                  <c:v>8.1502121158474807E-4</c:v>
                </c:pt>
                <c:pt idx="338">
                  <c:v>4.7564668970456964E-4</c:v>
                </c:pt>
                <c:pt idx="339">
                  <c:v>8.3524139215437356E-4</c:v>
                </c:pt>
                <c:pt idx="340">
                  <c:v>5.3370160322505154E-4</c:v>
                </c:pt>
                <c:pt idx="341">
                  <c:v>6.7254469706832154E-4</c:v>
                </c:pt>
                <c:pt idx="342">
                  <c:v>7.1247123452725797E-4</c:v>
                </c:pt>
                <c:pt idx="343">
                  <c:v>4.8548944436816675E-4</c:v>
                </c:pt>
                <c:pt idx="344">
                  <c:v>8.1403525079312559E-4</c:v>
                </c:pt>
                <c:pt idx="345">
                  <c:v>4.5597064197134868E-4</c:v>
                </c:pt>
                <c:pt idx="346">
                  <c:v>7.2319435913203664E-4</c:v>
                </c:pt>
                <c:pt idx="347">
                  <c:v>6.0077852686819691E-4</c:v>
                </c:pt>
                <c:pt idx="348">
                  <c:v>5.2572408637864608E-4</c:v>
                </c:pt>
                <c:pt idx="349">
                  <c:v>7.5607388210463782E-4</c:v>
                </c:pt>
                <c:pt idx="350">
                  <c:v>4.170233447831509E-4</c:v>
                </c:pt>
                <c:pt idx="351">
                  <c:v>7.4977868411277E-4</c:v>
                </c:pt>
                <c:pt idx="352">
                  <c:v>4.9786254560610377E-4</c:v>
                </c:pt>
                <c:pt idx="353">
                  <c:v>5.8030129370040164E-4</c:v>
                </c:pt>
                <c:pt idx="354">
                  <c:v>6.7069739070017668E-4</c:v>
                </c:pt>
                <c:pt idx="355">
                  <c:v>4.1621999103194185E-4</c:v>
                </c:pt>
                <c:pt idx="356">
                  <c:v>7.4376976355469986E-4</c:v>
                </c:pt>
                <c:pt idx="357">
                  <c:v>4.1837465194060182E-4</c:v>
                </c:pt>
                <c:pt idx="358">
                  <c:v>6.323046471872171E-4</c:v>
                </c:pt>
                <c:pt idx="359">
                  <c:v>5.7195333703014461E-4</c:v>
                </c:pt>
                <c:pt idx="360">
                  <c:v>4.4584964223883623E-4</c:v>
                </c:pt>
                <c:pt idx="361">
                  <c:v>7.0421735780326091E-4</c:v>
                </c:pt>
                <c:pt idx="362">
                  <c:v>3.7112074823536523E-4</c:v>
                </c:pt>
                <c:pt idx="363">
                  <c:v>6.6738812803860011E-4</c:v>
                </c:pt>
                <c:pt idx="364">
                  <c:v>4.752634121584336E-4</c:v>
                </c:pt>
                <c:pt idx="365">
                  <c:v>4.9344267709769244E-4</c:v>
                </c:pt>
                <c:pt idx="366">
                  <c:v>6.3687023352425385E-4</c:v>
                </c:pt>
                <c:pt idx="367">
                  <c:v>3.5813038974399013E-4</c:v>
                </c:pt>
                <c:pt idx="368">
                  <c:v>6.7607607890423694E-4</c:v>
                </c:pt>
                <c:pt idx="369">
                  <c:v>3.9428789059961375E-4</c:v>
                </c:pt>
                <c:pt idx="370">
                  <c:v>5.4463614632714423E-4</c:v>
                </c:pt>
                <c:pt idx="371">
                  <c:v>5.5230811323126242E-4</c:v>
                </c:pt>
                <c:pt idx="372">
                  <c:v>3.7517359089704068E-4</c:v>
                </c:pt>
                <c:pt idx="373">
                  <c:v>6.5494066081034266E-4</c:v>
                </c:pt>
                <c:pt idx="374">
                  <c:v>3.3871877591280434E-4</c:v>
                </c:pt>
                <c:pt idx="375">
                  <c:v>5.8615498067866292E-4</c:v>
                </c:pt>
                <c:pt idx="376">
                  <c:v>4.6339194559374183E-4</c:v>
                </c:pt>
                <c:pt idx="377">
                  <c:v>4.1322307210599701E-4</c:v>
                </c:pt>
                <c:pt idx="378">
                  <c:v>6.0642822911116407E-4</c:v>
                </c:pt>
                <c:pt idx="379">
                  <c:v>3.1291963320332088E-4</c:v>
                </c:pt>
                <c:pt idx="380">
                  <c:v>6.0790379610790868E-4</c:v>
                </c:pt>
                <c:pt idx="381">
                  <c:v>3.8258410831213476E-4</c:v>
                </c:pt>
                <c:pt idx="382">
                  <c:v>4.606345539203586E-4</c:v>
                </c:pt>
                <c:pt idx="383">
                  <c:v>5.3777040766394679E-4</c:v>
                </c:pt>
                <c:pt idx="384">
                  <c:v>3.1583536249421394E-4</c:v>
                </c:pt>
                <c:pt idx="385">
                  <c:v>6.0438814988369777E-4</c:v>
                </c:pt>
                <c:pt idx="386">
                  <c:v>3.2005939542209869E-4</c:v>
                </c:pt>
                <c:pt idx="387">
                  <c:v>5.0544223015892321E-4</c:v>
                </c:pt>
                <c:pt idx="388">
                  <c:v>4.5903502874451561E-4</c:v>
                </c:pt>
                <c:pt idx="389">
                  <c:v>3.4177268238447288E-4</c:v>
                </c:pt>
                <c:pt idx="390">
                  <c:v>5.7508242231538013E-4</c:v>
                </c:pt>
                <c:pt idx="391">
                  <c:v>2.8195687212343319E-4</c:v>
                </c:pt>
                <c:pt idx="392">
                  <c:v>5.3747603990861943E-4</c:v>
                </c:pt>
                <c:pt idx="393">
                  <c:v>3.8124040849737365E-4</c:v>
                </c:pt>
                <c:pt idx="394">
                  <c:v>3.8190735900901649E-4</c:v>
                </c:pt>
                <c:pt idx="395">
                  <c:v>5.2397824491613038E-4</c:v>
                </c:pt>
                <c:pt idx="396">
                  <c:v>2.7001855561169052E-4</c:v>
                </c:pt>
                <c:pt idx="397">
                  <c:v>5.4969454963839587E-4</c:v>
                </c:pt>
                <c:pt idx="398">
                  <c:v>3.1436050401730193E-4</c:v>
                </c:pt>
                <c:pt idx="399">
                  <c:v>4.2605570677686826E-4</c:v>
                </c:pt>
                <c:pt idx="400">
                  <c:v>4.5828132704287981E-4</c:v>
                </c:pt>
                <c:pt idx="401">
                  <c:v>2.8171658699244873E-4</c:v>
                </c:pt>
                <c:pt idx="402">
                  <c:v>5.3907868925064854E-4</c:v>
                </c:pt>
                <c:pt idx="403">
                  <c:v>2.6578292740141597E-4</c:v>
                </c:pt>
                <c:pt idx="404">
                  <c:v>4.6451442487957799E-4</c:v>
                </c:pt>
                <c:pt idx="405">
                  <c:v>3.8710387592302554E-4</c:v>
                </c:pt>
                <c:pt idx="406">
                  <c:v>3.1113430305646487E-4</c:v>
                </c:pt>
                <c:pt idx="407">
                  <c:v>5.0659649281782832E-4</c:v>
                </c:pt>
                <c:pt idx="408">
                  <c:v>2.3947285773618523E-4</c:v>
                </c:pt>
                <c:pt idx="409">
                  <c:v>4.8936832940066387E-4</c:v>
                </c:pt>
                <c:pt idx="410">
                  <c:v>3.1959628413553493E-4</c:v>
                </c:pt>
                <c:pt idx="411">
                  <c:v>3.5024862529526142E-4</c:v>
                </c:pt>
                <c:pt idx="412">
                  <c:v>4.5662771063294423E-4</c:v>
                </c:pt>
                <c:pt idx="413">
                  <c:v>2.3575342704375139E-4</c:v>
                </c:pt>
                <c:pt idx="414">
                  <c:v>4.9570836081848271E-4</c:v>
                </c:pt>
                <c:pt idx="415">
                  <c:v>2.6367605471924694E-4</c:v>
                </c:pt>
                <c:pt idx="416">
                  <c:v>3.90414938155944E-4</c:v>
                </c:pt>
                <c:pt idx="417">
                  <c:v>3.9589060744886934E-4</c:v>
                </c:pt>
                <c:pt idx="418">
                  <c:v>2.5159175986489037E-4</c:v>
                </c:pt>
                <c:pt idx="419">
                  <c:v>4.8188277511635569E-4</c:v>
                </c:pt>
                <c:pt idx="420">
                  <c:v>2.2491896701495618E-4</c:v>
                </c:pt>
                <c:pt idx="421">
                  <c:v>4.2364431067463515E-4</c:v>
                </c:pt>
                <c:pt idx="422">
                  <c:v>3.3222799604392897E-4</c:v>
                </c:pt>
                <c:pt idx="423">
                  <c:v>2.8140846335671077E-4</c:v>
                </c:pt>
                <c:pt idx="424">
                  <c:v>4.4947989711691832E-4</c:v>
                </c:pt>
                <c:pt idx="425">
                  <c:v>2.0600039794667585E-4</c:v>
                </c:pt>
                <c:pt idx="426">
                  <c:v>4.4378497679649825E-4</c:v>
                </c:pt>
                <c:pt idx="427">
                  <c:v>2.7330365222977515E-4</c:v>
                </c:pt>
                <c:pt idx="428">
                  <c:v>3.1821884188527606E-4</c:v>
                </c:pt>
                <c:pt idx="429">
                  <c:v>4.0270523583732536E-4</c:v>
                </c:pt>
                <c:pt idx="430">
                  <c:v>2.0656482725283956E-4</c:v>
                </c:pt>
                <c:pt idx="431">
                  <c:v>4.471682432925498E-4</c:v>
                </c:pt>
                <c:pt idx="432">
                  <c:v>2.2552918587114164E-4</c:v>
                </c:pt>
                <c:pt idx="433">
                  <c:v>3.5463825236581146E-4</c:v>
                </c:pt>
                <c:pt idx="434">
                  <c:v>3.4753560403946737E-4</c:v>
                </c:pt>
                <c:pt idx="435">
                  <c:v>2.2361851369141406E-4</c:v>
                </c:pt>
                <c:pt idx="436">
                  <c:v>4.3284925137172461E-4</c:v>
                </c:pt>
                <c:pt idx="437">
                  <c:v>1.9328656192015028E-4</c:v>
                </c:pt>
                <c:pt idx="438">
                  <c:v>3.8409617504942564E-4</c:v>
                </c:pt>
                <c:pt idx="439">
                  <c:v>2.9065212284368251E-4</c:v>
                </c:pt>
                <c:pt idx="440">
                  <c:v>2.5219604972231469E-4</c:v>
                </c:pt>
                <c:pt idx="441">
                  <c:v>4.0252830192173293E-4</c:v>
                </c:pt>
                <c:pt idx="442">
                  <c:v>1.7852094103799708E-4</c:v>
                </c:pt>
                <c:pt idx="443">
                  <c:v>4.0157441463077408E-4</c:v>
                </c:pt>
                <c:pt idx="444">
                  <c:v>2.3856718247644093E-4</c:v>
                </c:pt>
                <c:pt idx="445">
                  <c:v>2.8624827416762579E-4</c:v>
                </c:pt>
                <c:pt idx="446">
                  <c:v>3.5996890330666922E-4</c:v>
                </c:pt>
                <c:pt idx="447">
                  <c:v>1.8070188705713629E-4</c:v>
                </c:pt>
                <c:pt idx="448">
                  <c:v>4.0413634477011619E-4</c:v>
                </c:pt>
                <c:pt idx="449">
                  <c:v>1.9658860264223972E-4</c:v>
                </c:pt>
                <c:pt idx="450">
                  <c:v>3.195059091507371E-4</c:v>
                </c:pt>
                <c:pt idx="451">
                  <c:v>3.1034156546614792E-4</c:v>
                </c:pt>
                <c:pt idx="452">
                  <c:v>1.9713646882491668E-4</c:v>
                </c:pt>
                <c:pt idx="453">
                  <c:v>3.9114880952976415E-4</c:v>
                </c:pt>
                <c:pt idx="454">
                  <c:v>1.6834203398924274E-4</c:v>
                </c:pt>
                <c:pt idx="455">
                  <c:v>3.4644938255638444E-4</c:v>
                </c:pt>
                <c:pt idx="456">
                  <c:v>2.5941925885469082E-4</c:v>
                </c:pt>
                <c:pt idx="457">
                  <c:v>2.2355109078075143E-4</c:v>
                </c:pt>
                <c:pt idx="458">
                  <c:v>3.6411942364036101E-4</c:v>
                </c:pt>
                <c:pt idx="459">
                  <c:v>1.5543600798315207E-4</c:v>
                </c:pt>
                <c:pt idx="460">
                  <c:v>3.627916501121476E-4</c:v>
                </c:pt>
                <c:pt idx="461">
                  <c:v>2.126633553677163E-4</c:v>
                </c:pt>
                <c:pt idx="462">
                  <c:v>2.5476905364061703E-4</c:v>
                </c:pt>
                <c:pt idx="463">
                  <c:v>3.2625868488346679E-4</c:v>
                </c:pt>
                <c:pt idx="464">
                  <c:v>1.5743475136326791E-4</c:v>
                </c:pt>
                <c:pt idx="465">
                  <c:v>3.6602782352624345E-4</c:v>
                </c:pt>
                <c:pt idx="466">
                  <c:v>1.7465335488317605E-4</c:v>
                </c:pt>
                <c:pt idx="467">
                  <c:v>2.8546221680354696E-4</c:v>
                </c:pt>
                <c:pt idx="468">
                  <c:v>2.8197734220128802E-4</c:v>
                </c:pt>
                <c:pt idx="469">
                  <c:v>1.7208934152890474E-4</c:v>
                </c:pt>
                <c:pt idx="470">
                  <c:v>3.5554656383920583E-4</c:v>
                </c:pt>
                <c:pt idx="471">
                  <c:v>1.4859855786136897E-4</c:v>
                </c:pt>
                <c:pt idx="472">
                  <c:v>3.1080785091479514E-4</c:v>
                </c:pt>
                <c:pt idx="473">
                  <c:v>2.361979217074805E-4</c:v>
                </c:pt>
                <c:pt idx="474">
                  <c:v>1.9582257610464566E-4</c:v>
                </c:pt>
                <c:pt idx="475">
                  <c:v>3.3250897230368447E-4</c:v>
                </c:pt>
                <c:pt idx="476">
                  <c:v>1.3598069625259479E-4</c:v>
                </c:pt>
                <c:pt idx="477">
                  <c:v>3.2707351964921335E-4</c:v>
                </c:pt>
                <c:pt idx="478">
                  <c:v>1.9362296704901398E-4</c:v>
                </c:pt>
                <c:pt idx="479">
                  <c:v>2.2420923327667668E-4</c:v>
                </c:pt>
                <c:pt idx="480">
                  <c:v>2.9958292923976603E-4</c:v>
                </c:pt>
                <c:pt idx="481">
                  <c:v>1.3659193540338234E-4</c:v>
                </c:pt>
                <c:pt idx="482">
                  <c:v>3.3195502827624153E-4</c:v>
                </c:pt>
                <c:pt idx="483">
                  <c:v>1.5834544613919528E-4</c:v>
                </c:pt>
                <c:pt idx="484">
                  <c:v>2.5267496055887716E-4</c:v>
                </c:pt>
                <c:pt idx="485">
                  <c:v>2.6042031573809938E-4</c:v>
                </c:pt>
                <c:pt idx="486">
                  <c:v>1.4868866686591843E-4</c:v>
                </c:pt>
                <c:pt idx="487">
                  <c:v>3.2469570384153508E-4</c:v>
                </c:pt>
                <c:pt idx="488">
                  <c:v>1.3325577553507616E-4</c:v>
                </c:pt>
                <c:pt idx="489">
                  <c:v>2.7702084243221204E-4</c:v>
                </c:pt>
                <c:pt idx="490">
                  <c:v>2.1922225840032093E-4</c:v>
                </c:pt>
                <c:pt idx="491">
                  <c:v>1.6932371673800757E-4</c:v>
                </c:pt>
                <c:pt idx="492">
                  <c:v>3.0608919001160617E-4</c:v>
                </c:pt>
                <c:pt idx="493">
                  <c:v>1.1986202259735777E-4</c:v>
                </c:pt>
                <c:pt idx="494">
                  <c:v>2.9385751398294205E-4</c:v>
                </c:pt>
                <c:pt idx="495">
                  <c:v>1.8011764700975741E-4</c:v>
                </c:pt>
                <c:pt idx="496">
                  <c:v>1.948206671751331E-4</c:v>
                </c:pt>
                <c:pt idx="497">
                  <c:v>2.7818548932124012E-4</c:v>
                </c:pt>
                <c:pt idx="498">
                  <c:v>1.1827838448178596E-4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E-4F96-96DF-9401B3BD6251}"/>
            </c:ext>
          </c:extLst>
        </c:ser>
        <c:ser>
          <c:idx val="5"/>
          <c:order val="2"/>
          <c:tx>
            <c:strRef>
              <c:f>Tool!$G$3</c:f>
              <c:strCache>
                <c:ptCount val="1"/>
                <c:pt idx="0">
                  <c:v>I zona2</c:v>
                </c:pt>
              </c:strCache>
            </c:strRef>
          </c:tx>
          <c:spPr>
            <a:ln w="1270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Tool!$B$5:$B$503</c:f>
              <c:numCache>
                <c:formatCode>0.00E+00</c:formatCode>
                <c:ptCount val="499"/>
                <c:pt idx="0">
                  <c:v>6.0120240000000004E-3</c:v>
                </c:pt>
                <c:pt idx="1">
                  <c:v>1.202405E-2</c:v>
                </c:pt>
                <c:pt idx="2">
                  <c:v>1.8036070000000001E-2</c:v>
                </c:pt>
                <c:pt idx="3">
                  <c:v>2.4048099999999999E-2</c:v>
                </c:pt>
                <c:pt idx="4">
                  <c:v>3.0060119999999999E-2</c:v>
                </c:pt>
                <c:pt idx="5">
                  <c:v>3.6072140000000003E-2</c:v>
                </c:pt>
                <c:pt idx="6">
                  <c:v>4.2084169999999997E-2</c:v>
                </c:pt>
                <c:pt idx="7">
                  <c:v>4.8096189999999997E-2</c:v>
                </c:pt>
                <c:pt idx="8">
                  <c:v>5.4108209999999997E-2</c:v>
                </c:pt>
                <c:pt idx="9">
                  <c:v>6.0120239999999998E-2</c:v>
                </c:pt>
                <c:pt idx="10">
                  <c:v>6.6132259999999998E-2</c:v>
                </c:pt>
                <c:pt idx="11">
                  <c:v>7.2144280000000005E-2</c:v>
                </c:pt>
                <c:pt idx="12">
                  <c:v>7.8156310000000007E-2</c:v>
                </c:pt>
                <c:pt idx="13">
                  <c:v>8.4168339999999994E-2</c:v>
                </c:pt>
                <c:pt idx="14">
                  <c:v>9.0180360000000001E-2</c:v>
                </c:pt>
                <c:pt idx="15">
                  <c:v>9.6192379999999994E-2</c:v>
                </c:pt>
                <c:pt idx="16" formatCode="General">
                  <c:v>0.102204</c:v>
                </c:pt>
                <c:pt idx="17" formatCode="General">
                  <c:v>0.10821600000000001</c:v>
                </c:pt>
                <c:pt idx="18" formatCode="General">
                  <c:v>0.114228</c:v>
                </c:pt>
                <c:pt idx="19" formatCode="General">
                  <c:v>0.12024</c:v>
                </c:pt>
                <c:pt idx="20" formatCode="General">
                  <c:v>0.126253</c:v>
                </c:pt>
                <c:pt idx="21" formatCode="General">
                  <c:v>0.13226499999999999</c:v>
                </c:pt>
                <c:pt idx="22" formatCode="General">
                  <c:v>0.13827700000000001</c:v>
                </c:pt>
                <c:pt idx="23" formatCode="General">
                  <c:v>0.144289</c:v>
                </c:pt>
                <c:pt idx="24" formatCode="General">
                  <c:v>0.15030099999999999</c:v>
                </c:pt>
                <c:pt idx="25" formatCode="General">
                  <c:v>0.15631300000000001</c:v>
                </c:pt>
                <c:pt idx="26" formatCode="General">
                  <c:v>0.162325</c:v>
                </c:pt>
                <c:pt idx="27" formatCode="General">
                  <c:v>0.16833699999999999</c:v>
                </c:pt>
                <c:pt idx="28" formatCode="General">
                  <c:v>0.174349</c:v>
                </c:pt>
                <c:pt idx="29" formatCode="General">
                  <c:v>0.18036099999999999</c:v>
                </c:pt>
                <c:pt idx="30" formatCode="General">
                  <c:v>0.18637300000000001</c:v>
                </c:pt>
                <c:pt idx="31" formatCode="General">
                  <c:v>0.192385</c:v>
                </c:pt>
                <c:pt idx="32" formatCode="General">
                  <c:v>0.19839699999999999</c:v>
                </c:pt>
                <c:pt idx="33" formatCode="General">
                  <c:v>0.20440900000000001</c:v>
                </c:pt>
                <c:pt idx="34" formatCode="General">
                  <c:v>0.210421</c:v>
                </c:pt>
                <c:pt idx="35" formatCode="General">
                  <c:v>0.21643299999999999</c:v>
                </c:pt>
                <c:pt idx="36" formatCode="General">
                  <c:v>0.222445</c:v>
                </c:pt>
                <c:pt idx="37" formatCode="General">
                  <c:v>0.22845699999999999</c:v>
                </c:pt>
                <c:pt idx="38" formatCode="General">
                  <c:v>0.23446900000000001</c:v>
                </c:pt>
                <c:pt idx="39" formatCode="General">
                  <c:v>0.240481</c:v>
                </c:pt>
                <c:pt idx="40" formatCode="General">
                  <c:v>0.24649299999999999</c:v>
                </c:pt>
                <c:pt idx="41" formatCode="General">
                  <c:v>0.25250499999999998</c:v>
                </c:pt>
                <c:pt idx="42" formatCode="General">
                  <c:v>0.258517</c:v>
                </c:pt>
                <c:pt idx="43" formatCode="General">
                  <c:v>0.26452900000000001</c:v>
                </c:pt>
                <c:pt idx="44" formatCode="General">
                  <c:v>0.27054099999999998</c:v>
                </c:pt>
                <c:pt idx="45" formatCode="General">
                  <c:v>0.27655299999999999</c:v>
                </c:pt>
                <c:pt idx="46" formatCode="General">
                  <c:v>0.28256500000000001</c:v>
                </c:pt>
                <c:pt idx="47" formatCode="General">
                  <c:v>0.28857699999999997</c:v>
                </c:pt>
                <c:pt idx="48" formatCode="General">
                  <c:v>0.29458899999999999</c:v>
                </c:pt>
                <c:pt idx="49" formatCode="General">
                  <c:v>0.30060100000000001</c:v>
                </c:pt>
                <c:pt idx="50" formatCode="General">
                  <c:v>0.30661300000000002</c:v>
                </c:pt>
                <c:pt idx="51" formatCode="General">
                  <c:v>0.31262499999999999</c:v>
                </c:pt>
                <c:pt idx="52" formatCode="General">
                  <c:v>0.318637</c:v>
                </c:pt>
                <c:pt idx="53" formatCode="General">
                  <c:v>0.32464900000000002</c:v>
                </c:pt>
                <c:pt idx="54" formatCode="General">
                  <c:v>0.33066099999999998</c:v>
                </c:pt>
                <c:pt idx="55" formatCode="General">
                  <c:v>0.336673</c:v>
                </c:pt>
                <c:pt idx="56" formatCode="General">
                  <c:v>0.34268500000000002</c:v>
                </c:pt>
                <c:pt idx="57" formatCode="General">
                  <c:v>0.34869699999999998</c:v>
                </c:pt>
                <c:pt idx="58" formatCode="General">
                  <c:v>0.354709</c:v>
                </c:pt>
                <c:pt idx="59" formatCode="General">
                  <c:v>0.36072100000000001</c:v>
                </c:pt>
                <c:pt idx="60" formatCode="General">
                  <c:v>0.36673299999999998</c:v>
                </c:pt>
                <c:pt idx="61" formatCode="General">
                  <c:v>0.37274499999999999</c:v>
                </c:pt>
                <c:pt idx="62" formatCode="General">
                  <c:v>0.37875799999999998</c:v>
                </c:pt>
                <c:pt idx="63" formatCode="General">
                  <c:v>0.38477</c:v>
                </c:pt>
                <c:pt idx="64" formatCode="General">
                  <c:v>0.39078200000000002</c:v>
                </c:pt>
                <c:pt idx="65" formatCode="General">
                  <c:v>0.39679399999999998</c:v>
                </c:pt>
                <c:pt idx="66" formatCode="General">
                  <c:v>0.402806</c:v>
                </c:pt>
                <c:pt idx="67" formatCode="General">
                  <c:v>0.40881800000000001</c:v>
                </c:pt>
                <c:pt idx="68" formatCode="General">
                  <c:v>0.41482999999999998</c:v>
                </c:pt>
                <c:pt idx="69" formatCode="General">
                  <c:v>0.42084199999999999</c:v>
                </c:pt>
                <c:pt idx="70" formatCode="General">
                  <c:v>0.42685400000000001</c:v>
                </c:pt>
                <c:pt idx="71" formatCode="General">
                  <c:v>0.43286599999999997</c:v>
                </c:pt>
                <c:pt idx="72" formatCode="General">
                  <c:v>0.43887799999999999</c:v>
                </c:pt>
                <c:pt idx="73" formatCode="General">
                  <c:v>0.44489000000000001</c:v>
                </c:pt>
                <c:pt idx="74" formatCode="General">
                  <c:v>0.45090200000000003</c:v>
                </c:pt>
                <c:pt idx="75" formatCode="General">
                  <c:v>0.45691399999999999</c:v>
                </c:pt>
                <c:pt idx="76" formatCode="General">
                  <c:v>0.462926</c:v>
                </c:pt>
                <c:pt idx="77" formatCode="General">
                  <c:v>0.46893800000000002</c:v>
                </c:pt>
                <c:pt idx="78" formatCode="General">
                  <c:v>0.47494999999999998</c:v>
                </c:pt>
                <c:pt idx="79" formatCode="General">
                  <c:v>0.480962</c:v>
                </c:pt>
                <c:pt idx="80" formatCode="General">
                  <c:v>0.48697400000000002</c:v>
                </c:pt>
                <c:pt idx="81" formatCode="General">
                  <c:v>0.49298599999999998</c:v>
                </c:pt>
                <c:pt idx="82" formatCode="General">
                  <c:v>0.498998</c:v>
                </c:pt>
                <c:pt idx="83" formatCode="General">
                  <c:v>0.50500999999999996</c:v>
                </c:pt>
                <c:pt idx="84" formatCode="General">
                  <c:v>0.51102199999999998</c:v>
                </c:pt>
                <c:pt idx="85" formatCode="General">
                  <c:v>0.51703399999999999</c:v>
                </c:pt>
                <c:pt idx="86" formatCode="General">
                  <c:v>0.52304600000000001</c:v>
                </c:pt>
                <c:pt idx="87" formatCode="General">
                  <c:v>0.52905800000000003</c:v>
                </c:pt>
                <c:pt idx="88" formatCode="General">
                  <c:v>0.53507000000000005</c:v>
                </c:pt>
                <c:pt idx="89" formatCode="General">
                  <c:v>0.54108199999999995</c:v>
                </c:pt>
                <c:pt idx="90" formatCode="General">
                  <c:v>0.54709399999999997</c:v>
                </c:pt>
                <c:pt idx="91" formatCode="General">
                  <c:v>0.55310599999999999</c:v>
                </c:pt>
                <c:pt idx="92" formatCode="General">
                  <c:v>0.559118</c:v>
                </c:pt>
                <c:pt idx="93" formatCode="General">
                  <c:v>0.56513000000000002</c:v>
                </c:pt>
                <c:pt idx="94" formatCode="General">
                  <c:v>0.57114200000000004</c:v>
                </c:pt>
                <c:pt idx="95" formatCode="General">
                  <c:v>0.57715399999999994</c:v>
                </c:pt>
                <c:pt idx="96" formatCode="General">
                  <c:v>0.58316599999999996</c:v>
                </c:pt>
                <c:pt idx="97" formatCode="General">
                  <c:v>0.58917799999999998</c:v>
                </c:pt>
                <c:pt idx="98" formatCode="General">
                  <c:v>0.59519</c:v>
                </c:pt>
                <c:pt idx="99" formatCode="General">
                  <c:v>0.60120200000000001</c:v>
                </c:pt>
                <c:pt idx="100" formatCode="General">
                  <c:v>0.60721400000000003</c:v>
                </c:pt>
                <c:pt idx="101" formatCode="General">
                  <c:v>0.61322600000000005</c:v>
                </c:pt>
                <c:pt idx="102" formatCode="General">
                  <c:v>0.61923799999999996</c:v>
                </c:pt>
                <c:pt idx="103" formatCode="General">
                  <c:v>0.62524999999999997</c:v>
                </c:pt>
                <c:pt idx="104" formatCode="General">
                  <c:v>0.63126199999999999</c:v>
                </c:pt>
                <c:pt idx="105" formatCode="General">
                  <c:v>0.63727500000000004</c:v>
                </c:pt>
                <c:pt idx="106" formatCode="General">
                  <c:v>0.64328700000000005</c:v>
                </c:pt>
                <c:pt idx="107" formatCode="General">
                  <c:v>0.64929899999999996</c:v>
                </c:pt>
                <c:pt idx="108" formatCode="General">
                  <c:v>0.65531099999999998</c:v>
                </c:pt>
                <c:pt idx="109" formatCode="General">
                  <c:v>0.66132299999999999</c:v>
                </c:pt>
                <c:pt idx="110" formatCode="General">
                  <c:v>0.66733500000000001</c:v>
                </c:pt>
                <c:pt idx="111" formatCode="General">
                  <c:v>0.67334700000000003</c:v>
                </c:pt>
                <c:pt idx="112" formatCode="General">
                  <c:v>0.67935900000000005</c:v>
                </c:pt>
                <c:pt idx="113" formatCode="General">
                  <c:v>0.68537099999999995</c:v>
                </c:pt>
                <c:pt idx="114" formatCode="General">
                  <c:v>0.69138299999999997</c:v>
                </c:pt>
                <c:pt idx="115" formatCode="General">
                  <c:v>0.69739499999999999</c:v>
                </c:pt>
                <c:pt idx="116" formatCode="General">
                  <c:v>0.703407</c:v>
                </c:pt>
                <c:pt idx="117" formatCode="General">
                  <c:v>0.70941900000000002</c:v>
                </c:pt>
                <c:pt idx="118" formatCode="General">
                  <c:v>0.71543100000000004</c:v>
                </c:pt>
                <c:pt idx="119" formatCode="General">
                  <c:v>0.72144299999999995</c:v>
                </c:pt>
                <c:pt idx="120" formatCode="General">
                  <c:v>0.72745499999999996</c:v>
                </c:pt>
                <c:pt idx="121" formatCode="General">
                  <c:v>0.73346699999999998</c:v>
                </c:pt>
                <c:pt idx="122" formatCode="General">
                  <c:v>0.739479</c:v>
                </c:pt>
                <c:pt idx="123" formatCode="General">
                  <c:v>0.74549100000000001</c:v>
                </c:pt>
                <c:pt idx="124" formatCode="General">
                  <c:v>0.75150300000000003</c:v>
                </c:pt>
                <c:pt idx="125" formatCode="General">
                  <c:v>0.75751500000000005</c:v>
                </c:pt>
                <c:pt idx="126" formatCode="General">
                  <c:v>0.76352699999999996</c:v>
                </c:pt>
                <c:pt idx="127" formatCode="General">
                  <c:v>0.76953899999999997</c:v>
                </c:pt>
                <c:pt idx="128" formatCode="General">
                  <c:v>0.77555099999999999</c:v>
                </c:pt>
                <c:pt idx="129" formatCode="General">
                  <c:v>0.78156300000000001</c:v>
                </c:pt>
                <c:pt idx="130" formatCode="General">
                  <c:v>0.78757500000000003</c:v>
                </c:pt>
                <c:pt idx="131" formatCode="General">
                  <c:v>0.79358700000000004</c:v>
                </c:pt>
                <c:pt idx="132" formatCode="General">
                  <c:v>0.79959899999999995</c:v>
                </c:pt>
                <c:pt idx="133" formatCode="General">
                  <c:v>0.80561099999999997</c:v>
                </c:pt>
                <c:pt idx="134" formatCode="General">
                  <c:v>0.81162299999999998</c:v>
                </c:pt>
                <c:pt idx="135" formatCode="General">
                  <c:v>0.817635</c:v>
                </c:pt>
                <c:pt idx="136" formatCode="General">
                  <c:v>0.82364700000000002</c:v>
                </c:pt>
                <c:pt idx="137" formatCode="General">
                  <c:v>0.82965900000000004</c:v>
                </c:pt>
                <c:pt idx="138" formatCode="General">
                  <c:v>0.83567100000000005</c:v>
                </c:pt>
                <c:pt idx="139" formatCode="General">
                  <c:v>0.84168299999999996</c:v>
                </c:pt>
                <c:pt idx="140" formatCode="General">
                  <c:v>0.84769499999999998</c:v>
                </c:pt>
                <c:pt idx="141" formatCode="General">
                  <c:v>0.85370699999999999</c:v>
                </c:pt>
                <c:pt idx="142" formatCode="General">
                  <c:v>0.85971900000000001</c:v>
                </c:pt>
                <c:pt idx="143" formatCode="General">
                  <c:v>0.86573100000000003</c:v>
                </c:pt>
                <c:pt idx="144" formatCode="General">
                  <c:v>0.87174300000000005</c:v>
                </c:pt>
                <c:pt idx="145" formatCode="General">
                  <c:v>0.87775499999999995</c:v>
                </c:pt>
                <c:pt idx="146" formatCode="General">
                  <c:v>0.88376699999999997</c:v>
                </c:pt>
                <c:pt idx="147" formatCode="General">
                  <c:v>0.88978000000000002</c:v>
                </c:pt>
                <c:pt idx="148" formatCode="General">
                  <c:v>0.89579200000000003</c:v>
                </c:pt>
                <c:pt idx="149" formatCode="General">
                  <c:v>0.90180400000000005</c:v>
                </c:pt>
                <c:pt idx="150" formatCode="General">
                  <c:v>0.90781599999999996</c:v>
                </c:pt>
                <c:pt idx="151" formatCode="General">
                  <c:v>0.91382799999999997</c:v>
                </c:pt>
                <c:pt idx="152" formatCode="General">
                  <c:v>0.91983999999999999</c:v>
                </c:pt>
                <c:pt idx="153" formatCode="General">
                  <c:v>0.92585200000000001</c:v>
                </c:pt>
                <c:pt idx="154" formatCode="General">
                  <c:v>0.93186400000000003</c:v>
                </c:pt>
                <c:pt idx="155" formatCode="General">
                  <c:v>0.93787600000000004</c:v>
                </c:pt>
                <c:pt idx="156" formatCode="General">
                  <c:v>0.94388799999999995</c:v>
                </c:pt>
                <c:pt idx="157" formatCode="General">
                  <c:v>0.94989999999999997</c:v>
                </c:pt>
                <c:pt idx="158" formatCode="General">
                  <c:v>0.95591199999999998</c:v>
                </c:pt>
                <c:pt idx="159" formatCode="General">
                  <c:v>0.961924</c:v>
                </c:pt>
                <c:pt idx="160" formatCode="General">
                  <c:v>0.96793600000000002</c:v>
                </c:pt>
                <c:pt idx="161" formatCode="General">
                  <c:v>0.97394800000000004</c:v>
                </c:pt>
                <c:pt idx="162" formatCode="General">
                  <c:v>0.97996000000000005</c:v>
                </c:pt>
                <c:pt idx="163" formatCode="General">
                  <c:v>0.98597199999999996</c:v>
                </c:pt>
                <c:pt idx="164" formatCode="General">
                  <c:v>0.99198399999999998</c:v>
                </c:pt>
                <c:pt idx="165" formatCode="General">
                  <c:v>0.99799599999999999</c:v>
                </c:pt>
                <c:pt idx="166" formatCode="General">
                  <c:v>1.0040100000000001</c:v>
                </c:pt>
                <c:pt idx="167" formatCode="General">
                  <c:v>1.0100199999999999</c:v>
                </c:pt>
                <c:pt idx="168" formatCode="General">
                  <c:v>1.01603</c:v>
                </c:pt>
                <c:pt idx="169" formatCode="General">
                  <c:v>1.0220400000000001</c:v>
                </c:pt>
                <c:pt idx="170" formatCode="General">
                  <c:v>1.02806</c:v>
                </c:pt>
                <c:pt idx="171" formatCode="General">
                  <c:v>1.03407</c:v>
                </c:pt>
                <c:pt idx="172" formatCode="General">
                  <c:v>1.0400799999999999</c:v>
                </c:pt>
                <c:pt idx="173" formatCode="General">
                  <c:v>1.04609</c:v>
                </c:pt>
                <c:pt idx="174" formatCode="General">
                  <c:v>1.0521</c:v>
                </c:pt>
                <c:pt idx="175" formatCode="General">
                  <c:v>1.0581199999999999</c:v>
                </c:pt>
                <c:pt idx="176" formatCode="General">
                  <c:v>1.06413</c:v>
                </c:pt>
                <c:pt idx="177" formatCode="General">
                  <c:v>1.0701400000000001</c:v>
                </c:pt>
                <c:pt idx="178" formatCode="General">
                  <c:v>1.0761499999999999</c:v>
                </c:pt>
                <c:pt idx="179" formatCode="General">
                  <c:v>1.08216</c:v>
                </c:pt>
                <c:pt idx="180" formatCode="General">
                  <c:v>1.0881799999999999</c:v>
                </c:pt>
                <c:pt idx="181" formatCode="General">
                  <c:v>1.09419</c:v>
                </c:pt>
                <c:pt idx="182" formatCode="General">
                  <c:v>1.1002000000000001</c:v>
                </c:pt>
                <c:pt idx="183" formatCode="General">
                  <c:v>1.1062099999999999</c:v>
                </c:pt>
                <c:pt idx="184" formatCode="General">
                  <c:v>1.11222</c:v>
                </c:pt>
                <c:pt idx="185" formatCode="General">
                  <c:v>1.1182399999999999</c:v>
                </c:pt>
                <c:pt idx="186" formatCode="General">
                  <c:v>1.12425</c:v>
                </c:pt>
                <c:pt idx="187" formatCode="General">
                  <c:v>1.13026</c:v>
                </c:pt>
                <c:pt idx="188" formatCode="General">
                  <c:v>1.1362699999999999</c:v>
                </c:pt>
                <c:pt idx="189" formatCode="General">
                  <c:v>1.14228</c:v>
                </c:pt>
                <c:pt idx="190" formatCode="General">
                  <c:v>1.1483000000000001</c:v>
                </c:pt>
                <c:pt idx="191" formatCode="General">
                  <c:v>1.1543099999999999</c:v>
                </c:pt>
                <c:pt idx="192" formatCode="General">
                  <c:v>1.16032</c:v>
                </c:pt>
                <c:pt idx="193" formatCode="General">
                  <c:v>1.1663300000000001</c:v>
                </c:pt>
                <c:pt idx="194" formatCode="General">
                  <c:v>1.1723399999999999</c:v>
                </c:pt>
                <c:pt idx="195" formatCode="General">
                  <c:v>1.1783600000000001</c:v>
                </c:pt>
                <c:pt idx="196" formatCode="General">
                  <c:v>1.1843699999999999</c:v>
                </c:pt>
                <c:pt idx="197" formatCode="General">
                  <c:v>1.19038</c:v>
                </c:pt>
                <c:pt idx="198" formatCode="General">
                  <c:v>1.1963900000000001</c:v>
                </c:pt>
                <c:pt idx="199" formatCode="General">
                  <c:v>1.2023999999999999</c:v>
                </c:pt>
                <c:pt idx="200" formatCode="General">
                  <c:v>1.20842</c:v>
                </c:pt>
                <c:pt idx="201" formatCode="General">
                  <c:v>1.2144299999999999</c:v>
                </c:pt>
                <c:pt idx="202" formatCode="General">
                  <c:v>1.22044</c:v>
                </c:pt>
                <c:pt idx="203" formatCode="General">
                  <c:v>1.22645</c:v>
                </c:pt>
                <c:pt idx="204" formatCode="General">
                  <c:v>1.2324600000000001</c:v>
                </c:pt>
                <c:pt idx="205" formatCode="General">
                  <c:v>1.23848</c:v>
                </c:pt>
                <c:pt idx="206" formatCode="General">
                  <c:v>1.2444900000000001</c:v>
                </c:pt>
                <c:pt idx="207" formatCode="General">
                  <c:v>1.2504999999999999</c:v>
                </c:pt>
                <c:pt idx="208" formatCode="General">
                  <c:v>1.25651</c:v>
                </c:pt>
                <c:pt idx="209" formatCode="General">
                  <c:v>1.2625200000000001</c:v>
                </c:pt>
                <c:pt idx="210" formatCode="General">
                  <c:v>1.26854</c:v>
                </c:pt>
                <c:pt idx="211" formatCode="General">
                  <c:v>1.2745500000000001</c:v>
                </c:pt>
                <c:pt idx="212" formatCode="General">
                  <c:v>1.2805599999999999</c:v>
                </c:pt>
                <c:pt idx="213" formatCode="General">
                  <c:v>1.28657</c:v>
                </c:pt>
                <c:pt idx="214" formatCode="General">
                  <c:v>1.2925899999999999</c:v>
                </c:pt>
                <c:pt idx="215" formatCode="General">
                  <c:v>1.2986</c:v>
                </c:pt>
                <c:pt idx="216" formatCode="General">
                  <c:v>1.30461</c:v>
                </c:pt>
                <c:pt idx="217" formatCode="General">
                  <c:v>1.3106199999999999</c:v>
                </c:pt>
                <c:pt idx="218" formatCode="General">
                  <c:v>1.31663</c:v>
                </c:pt>
                <c:pt idx="219" formatCode="General">
                  <c:v>1.3226500000000001</c:v>
                </c:pt>
                <c:pt idx="220" formatCode="General">
                  <c:v>1.32866</c:v>
                </c:pt>
                <c:pt idx="221" formatCode="General">
                  <c:v>1.33467</c:v>
                </c:pt>
                <c:pt idx="222" formatCode="General">
                  <c:v>1.3406800000000001</c:v>
                </c:pt>
                <c:pt idx="223" formatCode="General">
                  <c:v>1.3466899999999999</c:v>
                </c:pt>
                <c:pt idx="224" formatCode="General">
                  <c:v>1.3527100000000001</c:v>
                </c:pt>
                <c:pt idx="225" formatCode="General">
                  <c:v>1.3587199999999999</c:v>
                </c:pt>
                <c:pt idx="226" formatCode="General">
                  <c:v>1.36473</c:v>
                </c:pt>
                <c:pt idx="227" formatCode="General">
                  <c:v>1.3707400000000001</c:v>
                </c:pt>
                <c:pt idx="228" formatCode="General">
                  <c:v>1.3767499999999999</c:v>
                </c:pt>
                <c:pt idx="229" formatCode="General">
                  <c:v>1.3827700000000001</c:v>
                </c:pt>
                <c:pt idx="230" formatCode="General">
                  <c:v>1.3887799999999999</c:v>
                </c:pt>
                <c:pt idx="231" formatCode="General">
                  <c:v>1.39479</c:v>
                </c:pt>
                <c:pt idx="232" formatCode="General">
                  <c:v>1.4008</c:v>
                </c:pt>
                <c:pt idx="233" formatCode="General">
                  <c:v>1.4068099999999999</c:v>
                </c:pt>
                <c:pt idx="234" formatCode="General">
                  <c:v>1.41283</c:v>
                </c:pt>
                <c:pt idx="235" formatCode="General">
                  <c:v>1.4188400000000001</c:v>
                </c:pt>
                <c:pt idx="236" formatCode="General">
                  <c:v>1.4248499999999999</c:v>
                </c:pt>
                <c:pt idx="237" formatCode="General">
                  <c:v>1.43086</c:v>
                </c:pt>
                <c:pt idx="238" formatCode="General">
                  <c:v>1.4368700000000001</c:v>
                </c:pt>
                <c:pt idx="239" formatCode="General">
                  <c:v>1.44289</c:v>
                </c:pt>
                <c:pt idx="240" formatCode="General">
                  <c:v>1.4489000000000001</c:v>
                </c:pt>
                <c:pt idx="241" formatCode="General">
                  <c:v>1.4549099999999999</c:v>
                </c:pt>
                <c:pt idx="242" formatCode="General">
                  <c:v>1.46092</c:v>
                </c:pt>
                <c:pt idx="243" formatCode="General">
                  <c:v>1.4669300000000001</c:v>
                </c:pt>
                <c:pt idx="244" formatCode="General">
                  <c:v>1.47295</c:v>
                </c:pt>
                <c:pt idx="245" formatCode="General">
                  <c:v>1.4789600000000001</c:v>
                </c:pt>
                <c:pt idx="246" formatCode="General">
                  <c:v>1.4849699999999999</c:v>
                </c:pt>
                <c:pt idx="247" formatCode="General">
                  <c:v>1.49098</c:v>
                </c:pt>
                <c:pt idx="248" formatCode="General">
                  <c:v>1.49699</c:v>
                </c:pt>
                <c:pt idx="249" formatCode="General">
                  <c:v>1.50301</c:v>
                </c:pt>
                <c:pt idx="250" formatCode="General">
                  <c:v>1.50902</c:v>
                </c:pt>
                <c:pt idx="251" formatCode="General">
                  <c:v>1.5150300000000001</c:v>
                </c:pt>
                <c:pt idx="252" formatCode="General">
                  <c:v>1.5210399999999999</c:v>
                </c:pt>
                <c:pt idx="253" formatCode="General">
                  <c:v>1.52705</c:v>
                </c:pt>
                <c:pt idx="254" formatCode="General">
                  <c:v>1.5330699999999999</c:v>
                </c:pt>
                <c:pt idx="255" formatCode="General">
                  <c:v>1.53908</c:v>
                </c:pt>
                <c:pt idx="256" formatCode="General">
                  <c:v>1.5450900000000001</c:v>
                </c:pt>
                <c:pt idx="257" formatCode="General">
                  <c:v>1.5510999999999999</c:v>
                </c:pt>
                <c:pt idx="258" formatCode="General">
                  <c:v>1.55711</c:v>
                </c:pt>
                <c:pt idx="259" formatCode="General">
                  <c:v>1.5631299999999999</c:v>
                </c:pt>
                <c:pt idx="260" formatCode="General">
                  <c:v>1.56914</c:v>
                </c:pt>
                <c:pt idx="261" formatCode="General">
                  <c:v>1.5751500000000001</c:v>
                </c:pt>
                <c:pt idx="262" formatCode="General">
                  <c:v>1.5811599999999999</c:v>
                </c:pt>
                <c:pt idx="263" formatCode="General">
                  <c:v>1.58717</c:v>
                </c:pt>
                <c:pt idx="264" formatCode="General">
                  <c:v>1.5931900000000001</c:v>
                </c:pt>
                <c:pt idx="265" formatCode="General">
                  <c:v>1.5992</c:v>
                </c:pt>
                <c:pt idx="266" formatCode="General">
                  <c:v>1.60521</c:v>
                </c:pt>
                <c:pt idx="267" formatCode="General">
                  <c:v>1.6112200000000001</c:v>
                </c:pt>
                <c:pt idx="268" formatCode="General">
                  <c:v>1.6172299999999999</c:v>
                </c:pt>
                <c:pt idx="269" formatCode="General">
                  <c:v>1.6232500000000001</c:v>
                </c:pt>
                <c:pt idx="270" formatCode="General">
                  <c:v>1.6292599999999999</c:v>
                </c:pt>
                <c:pt idx="271" formatCode="General">
                  <c:v>1.63527</c:v>
                </c:pt>
                <c:pt idx="272" formatCode="General">
                  <c:v>1.6412800000000001</c:v>
                </c:pt>
                <c:pt idx="273" formatCode="General">
                  <c:v>1.6472899999999999</c:v>
                </c:pt>
                <c:pt idx="274" formatCode="General">
                  <c:v>1.6533100000000001</c:v>
                </c:pt>
                <c:pt idx="275" formatCode="General">
                  <c:v>1.6593199999999999</c:v>
                </c:pt>
                <c:pt idx="276" formatCode="General">
                  <c:v>1.66533</c:v>
                </c:pt>
                <c:pt idx="277" formatCode="General">
                  <c:v>1.67134</c:v>
                </c:pt>
                <c:pt idx="278" formatCode="General">
                  <c:v>1.6773499999999999</c:v>
                </c:pt>
                <c:pt idx="279" formatCode="General">
                  <c:v>1.68337</c:v>
                </c:pt>
                <c:pt idx="280" formatCode="General">
                  <c:v>1.6893800000000001</c:v>
                </c:pt>
                <c:pt idx="281" formatCode="General">
                  <c:v>1.69539</c:v>
                </c:pt>
                <c:pt idx="282" formatCode="General">
                  <c:v>1.7014</c:v>
                </c:pt>
                <c:pt idx="283" formatCode="General">
                  <c:v>1.7074100000000001</c:v>
                </c:pt>
                <c:pt idx="284" formatCode="General">
                  <c:v>1.71343</c:v>
                </c:pt>
                <c:pt idx="285" formatCode="General">
                  <c:v>1.7194400000000001</c:v>
                </c:pt>
                <c:pt idx="286" formatCode="General">
                  <c:v>1.7254499999999999</c:v>
                </c:pt>
                <c:pt idx="287" formatCode="General">
                  <c:v>1.73146</c:v>
                </c:pt>
                <c:pt idx="288" formatCode="General">
                  <c:v>1.7374700000000001</c:v>
                </c:pt>
                <c:pt idx="289" formatCode="General">
                  <c:v>1.74349</c:v>
                </c:pt>
                <c:pt idx="290" formatCode="General">
                  <c:v>1.7495000000000001</c:v>
                </c:pt>
                <c:pt idx="291" formatCode="General">
                  <c:v>1.7555099999999999</c:v>
                </c:pt>
                <c:pt idx="292" formatCode="General">
                  <c:v>1.76152</c:v>
                </c:pt>
                <c:pt idx="293" formatCode="General">
                  <c:v>1.76753</c:v>
                </c:pt>
                <c:pt idx="294" formatCode="General">
                  <c:v>1.77355</c:v>
                </c:pt>
                <c:pt idx="295" formatCode="General">
                  <c:v>1.77956</c:v>
                </c:pt>
                <c:pt idx="296" formatCode="General">
                  <c:v>1.7855700000000001</c:v>
                </c:pt>
                <c:pt idx="297" formatCode="General">
                  <c:v>1.79158</c:v>
                </c:pt>
                <c:pt idx="298" formatCode="General">
                  <c:v>1.7976000000000001</c:v>
                </c:pt>
                <c:pt idx="299" formatCode="General">
                  <c:v>1.8036099999999999</c:v>
                </c:pt>
                <c:pt idx="300" formatCode="General">
                  <c:v>1.80962</c:v>
                </c:pt>
                <c:pt idx="301" formatCode="General">
                  <c:v>1.8156300000000001</c:v>
                </c:pt>
                <c:pt idx="302" formatCode="General">
                  <c:v>1.8216399999999999</c:v>
                </c:pt>
                <c:pt idx="303" formatCode="General">
                  <c:v>1.8276600000000001</c:v>
                </c:pt>
                <c:pt idx="304" formatCode="General">
                  <c:v>1.8336699999999999</c:v>
                </c:pt>
                <c:pt idx="305" formatCode="General">
                  <c:v>1.83968</c:v>
                </c:pt>
                <c:pt idx="306" formatCode="General">
                  <c:v>1.8456900000000001</c:v>
                </c:pt>
                <c:pt idx="307" formatCode="General">
                  <c:v>1.8516999999999999</c:v>
                </c:pt>
                <c:pt idx="308" formatCode="General">
                  <c:v>1.85772</c:v>
                </c:pt>
                <c:pt idx="309" formatCode="General">
                  <c:v>1.8637300000000001</c:v>
                </c:pt>
                <c:pt idx="310" formatCode="General">
                  <c:v>1.86974</c:v>
                </c:pt>
                <c:pt idx="311" formatCode="General">
                  <c:v>1.87575</c:v>
                </c:pt>
                <c:pt idx="312" formatCode="General">
                  <c:v>1.8817600000000001</c:v>
                </c:pt>
                <c:pt idx="313" formatCode="General">
                  <c:v>1.88778</c:v>
                </c:pt>
                <c:pt idx="314" formatCode="General">
                  <c:v>1.8937900000000001</c:v>
                </c:pt>
                <c:pt idx="315" formatCode="General">
                  <c:v>1.8997999999999999</c:v>
                </c:pt>
                <c:pt idx="316" formatCode="General">
                  <c:v>1.90581</c:v>
                </c:pt>
                <c:pt idx="317" formatCode="General">
                  <c:v>1.9118200000000001</c:v>
                </c:pt>
                <c:pt idx="318" formatCode="General">
                  <c:v>1.91784</c:v>
                </c:pt>
                <c:pt idx="319" formatCode="General">
                  <c:v>1.9238500000000001</c:v>
                </c:pt>
                <c:pt idx="320" formatCode="General">
                  <c:v>1.9298599999999999</c:v>
                </c:pt>
                <c:pt idx="321" formatCode="General">
                  <c:v>1.93587</c:v>
                </c:pt>
                <c:pt idx="322" formatCode="General">
                  <c:v>1.9418800000000001</c:v>
                </c:pt>
                <c:pt idx="323" formatCode="General">
                  <c:v>1.9479</c:v>
                </c:pt>
                <c:pt idx="324" formatCode="General">
                  <c:v>1.95391</c:v>
                </c:pt>
                <c:pt idx="325" formatCode="General">
                  <c:v>1.9599200000000001</c:v>
                </c:pt>
                <c:pt idx="326" formatCode="General">
                  <c:v>1.96593</c:v>
                </c:pt>
                <c:pt idx="327" formatCode="General">
                  <c:v>1.97194</c:v>
                </c:pt>
                <c:pt idx="328" formatCode="General">
                  <c:v>1.9779599999999999</c:v>
                </c:pt>
                <c:pt idx="329" formatCode="General">
                  <c:v>1.98397</c:v>
                </c:pt>
                <c:pt idx="330" formatCode="General">
                  <c:v>1.9899800000000001</c:v>
                </c:pt>
                <c:pt idx="331" formatCode="General">
                  <c:v>1.9959899999999999</c:v>
                </c:pt>
                <c:pt idx="332" formatCode="General">
                  <c:v>2.0019999999999998</c:v>
                </c:pt>
                <c:pt idx="333" formatCode="General">
                  <c:v>2.0080200000000001</c:v>
                </c:pt>
                <c:pt idx="334" formatCode="General">
                  <c:v>2.01403</c:v>
                </c:pt>
                <c:pt idx="335" formatCode="General">
                  <c:v>2.0200399999999998</c:v>
                </c:pt>
                <c:pt idx="336" formatCode="General">
                  <c:v>2.0260500000000001</c:v>
                </c:pt>
                <c:pt idx="337" formatCode="General">
                  <c:v>2.03206</c:v>
                </c:pt>
                <c:pt idx="338" formatCode="General">
                  <c:v>2.0380799999999999</c:v>
                </c:pt>
                <c:pt idx="339" formatCode="General">
                  <c:v>2.0440900000000002</c:v>
                </c:pt>
                <c:pt idx="340" formatCode="General">
                  <c:v>2.0501</c:v>
                </c:pt>
                <c:pt idx="341" formatCode="General">
                  <c:v>2.0561099999999999</c:v>
                </c:pt>
                <c:pt idx="342" formatCode="General">
                  <c:v>2.0621200000000002</c:v>
                </c:pt>
                <c:pt idx="343" formatCode="General">
                  <c:v>2.0681400000000001</c:v>
                </c:pt>
                <c:pt idx="344" formatCode="General">
                  <c:v>2.0741499999999999</c:v>
                </c:pt>
                <c:pt idx="345" formatCode="General">
                  <c:v>2.0801599999999998</c:v>
                </c:pt>
                <c:pt idx="346" formatCode="General">
                  <c:v>2.0861700000000001</c:v>
                </c:pt>
                <c:pt idx="347" formatCode="General">
                  <c:v>2.0921799999999999</c:v>
                </c:pt>
                <c:pt idx="348" formatCode="General">
                  <c:v>2.0981999999999998</c:v>
                </c:pt>
                <c:pt idx="349" formatCode="General">
                  <c:v>2.1042100000000001</c:v>
                </c:pt>
                <c:pt idx="350" formatCode="General">
                  <c:v>2.11022</c:v>
                </c:pt>
                <c:pt idx="351" formatCode="General">
                  <c:v>2.1162299999999998</c:v>
                </c:pt>
                <c:pt idx="352" formatCode="General">
                  <c:v>2.1222400000000001</c:v>
                </c:pt>
                <c:pt idx="353" formatCode="General">
                  <c:v>2.12826</c:v>
                </c:pt>
                <c:pt idx="354" formatCode="General">
                  <c:v>2.1342699999999999</c:v>
                </c:pt>
                <c:pt idx="355" formatCode="General">
                  <c:v>2.1402800000000002</c:v>
                </c:pt>
                <c:pt idx="356" formatCode="General">
                  <c:v>2.14629</c:v>
                </c:pt>
                <c:pt idx="357" formatCode="General">
                  <c:v>2.1522999999999999</c:v>
                </c:pt>
                <c:pt idx="358" formatCode="General">
                  <c:v>2.1583199999999998</c:v>
                </c:pt>
                <c:pt idx="359" formatCode="General">
                  <c:v>2.1643300000000001</c:v>
                </c:pt>
                <c:pt idx="360" formatCode="General">
                  <c:v>2.1703399999999999</c:v>
                </c:pt>
                <c:pt idx="361" formatCode="General">
                  <c:v>2.1763499999999998</c:v>
                </c:pt>
                <c:pt idx="362" formatCode="General">
                  <c:v>2.1823600000000001</c:v>
                </c:pt>
                <c:pt idx="363" formatCode="General">
                  <c:v>2.18838</c:v>
                </c:pt>
                <c:pt idx="364" formatCode="General">
                  <c:v>2.1943899999999998</c:v>
                </c:pt>
                <c:pt idx="365" formatCode="General">
                  <c:v>2.2004000000000001</c:v>
                </c:pt>
                <c:pt idx="366" formatCode="General">
                  <c:v>2.20641</c:v>
                </c:pt>
                <c:pt idx="367" formatCode="General">
                  <c:v>2.2124199999999998</c:v>
                </c:pt>
                <c:pt idx="368" formatCode="General">
                  <c:v>2.2184400000000002</c:v>
                </c:pt>
                <c:pt idx="369" formatCode="General">
                  <c:v>2.22445</c:v>
                </c:pt>
                <c:pt idx="370" formatCode="General">
                  <c:v>2.2304599999999999</c:v>
                </c:pt>
                <c:pt idx="371" formatCode="General">
                  <c:v>2.2364700000000002</c:v>
                </c:pt>
                <c:pt idx="372" formatCode="General">
                  <c:v>2.24248</c:v>
                </c:pt>
                <c:pt idx="373" formatCode="General">
                  <c:v>2.2484999999999999</c:v>
                </c:pt>
                <c:pt idx="374" formatCode="General">
                  <c:v>2.2545099999999998</c:v>
                </c:pt>
                <c:pt idx="375" formatCode="General">
                  <c:v>2.2605200000000001</c:v>
                </c:pt>
                <c:pt idx="376" formatCode="General">
                  <c:v>2.2665299999999999</c:v>
                </c:pt>
                <c:pt idx="377" formatCode="General">
                  <c:v>2.2725499999999998</c:v>
                </c:pt>
                <c:pt idx="378" formatCode="General">
                  <c:v>2.2785600000000001</c:v>
                </c:pt>
                <c:pt idx="379" formatCode="General">
                  <c:v>2.28457</c:v>
                </c:pt>
                <c:pt idx="380" formatCode="General">
                  <c:v>2.2905799999999998</c:v>
                </c:pt>
                <c:pt idx="381" formatCode="General">
                  <c:v>2.2965900000000001</c:v>
                </c:pt>
                <c:pt idx="382" formatCode="General">
                  <c:v>2.30261</c:v>
                </c:pt>
                <c:pt idx="383" formatCode="General">
                  <c:v>2.3086199999999999</c:v>
                </c:pt>
                <c:pt idx="384" formatCode="General">
                  <c:v>2.3146300000000002</c:v>
                </c:pt>
                <c:pt idx="385" formatCode="General">
                  <c:v>2.32064</c:v>
                </c:pt>
                <c:pt idx="386" formatCode="General">
                  <c:v>2.3266499999999999</c:v>
                </c:pt>
                <c:pt idx="387" formatCode="General">
                  <c:v>2.3326699999999998</c:v>
                </c:pt>
                <c:pt idx="388" formatCode="General">
                  <c:v>2.3386800000000001</c:v>
                </c:pt>
                <c:pt idx="389" formatCode="General">
                  <c:v>2.3446899999999999</c:v>
                </c:pt>
                <c:pt idx="390" formatCode="General">
                  <c:v>2.3506999999999998</c:v>
                </c:pt>
                <c:pt idx="391" formatCode="General">
                  <c:v>2.3567100000000001</c:v>
                </c:pt>
                <c:pt idx="392" formatCode="General">
                  <c:v>2.36273</c:v>
                </c:pt>
                <c:pt idx="393" formatCode="General">
                  <c:v>2.3687399999999998</c:v>
                </c:pt>
                <c:pt idx="394" formatCode="General">
                  <c:v>2.3747500000000001</c:v>
                </c:pt>
                <c:pt idx="395" formatCode="General">
                  <c:v>2.38076</c:v>
                </c:pt>
                <c:pt idx="396" formatCode="General">
                  <c:v>2.3867699999999998</c:v>
                </c:pt>
                <c:pt idx="397" formatCode="General">
                  <c:v>2.3927900000000002</c:v>
                </c:pt>
                <c:pt idx="398" formatCode="General">
                  <c:v>2.3988</c:v>
                </c:pt>
                <c:pt idx="399" formatCode="General">
                  <c:v>2.4048099999999999</c:v>
                </c:pt>
                <c:pt idx="400" formatCode="General">
                  <c:v>2.4108200000000002</c:v>
                </c:pt>
                <c:pt idx="401" formatCode="General">
                  <c:v>2.41683</c:v>
                </c:pt>
                <c:pt idx="402" formatCode="General">
                  <c:v>2.4228499999999999</c:v>
                </c:pt>
                <c:pt idx="403" formatCode="General">
                  <c:v>2.4288599999999998</c:v>
                </c:pt>
                <c:pt idx="404" formatCode="General">
                  <c:v>2.4348700000000001</c:v>
                </c:pt>
                <c:pt idx="405" formatCode="General">
                  <c:v>2.4408799999999999</c:v>
                </c:pt>
                <c:pt idx="406" formatCode="General">
                  <c:v>2.4468899999999998</c:v>
                </c:pt>
                <c:pt idx="407" formatCode="General">
                  <c:v>2.4529100000000001</c:v>
                </c:pt>
                <c:pt idx="408" formatCode="General">
                  <c:v>2.45892</c:v>
                </c:pt>
                <c:pt idx="409" formatCode="General">
                  <c:v>2.4649299999999998</c:v>
                </c:pt>
                <c:pt idx="410" formatCode="General">
                  <c:v>2.4709400000000001</c:v>
                </c:pt>
                <c:pt idx="411" formatCode="General">
                  <c:v>2.47695</c:v>
                </c:pt>
                <c:pt idx="412" formatCode="General">
                  <c:v>2.4829699999999999</c:v>
                </c:pt>
                <c:pt idx="413" formatCode="General">
                  <c:v>2.4889800000000002</c:v>
                </c:pt>
                <c:pt idx="414" formatCode="General">
                  <c:v>2.49499</c:v>
                </c:pt>
                <c:pt idx="415" formatCode="General">
                  <c:v>2.5009999999999999</c:v>
                </c:pt>
                <c:pt idx="416" formatCode="General">
                  <c:v>2.5070100000000002</c:v>
                </c:pt>
                <c:pt idx="417" formatCode="General">
                  <c:v>2.5130300000000001</c:v>
                </c:pt>
                <c:pt idx="418" formatCode="General">
                  <c:v>2.5190399999999999</c:v>
                </c:pt>
                <c:pt idx="419" formatCode="General">
                  <c:v>2.5250499999999998</c:v>
                </c:pt>
                <c:pt idx="420" formatCode="General">
                  <c:v>2.5310600000000001</c:v>
                </c:pt>
                <c:pt idx="421" formatCode="General">
                  <c:v>2.5370699999999999</c:v>
                </c:pt>
                <c:pt idx="422" formatCode="General">
                  <c:v>2.5430899999999999</c:v>
                </c:pt>
                <c:pt idx="423" formatCode="General">
                  <c:v>2.5491000000000001</c:v>
                </c:pt>
                <c:pt idx="424" formatCode="General">
                  <c:v>2.55511</c:v>
                </c:pt>
                <c:pt idx="425" formatCode="General">
                  <c:v>2.5611199999999998</c:v>
                </c:pt>
                <c:pt idx="426" formatCode="General">
                  <c:v>2.5671300000000001</c:v>
                </c:pt>
                <c:pt idx="427" formatCode="General">
                  <c:v>2.57315</c:v>
                </c:pt>
                <c:pt idx="428" formatCode="General">
                  <c:v>2.5791599999999999</c:v>
                </c:pt>
                <c:pt idx="429" formatCode="General">
                  <c:v>2.5851700000000002</c:v>
                </c:pt>
                <c:pt idx="430" formatCode="General">
                  <c:v>2.59118</c:v>
                </c:pt>
                <c:pt idx="431" formatCode="General">
                  <c:v>2.5971899999999999</c:v>
                </c:pt>
                <c:pt idx="432" formatCode="General">
                  <c:v>2.6032099999999998</c:v>
                </c:pt>
                <c:pt idx="433" formatCode="General">
                  <c:v>2.6092200000000001</c:v>
                </c:pt>
                <c:pt idx="434" formatCode="General">
                  <c:v>2.6152299999999999</c:v>
                </c:pt>
                <c:pt idx="435" formatCode="General">
                  <c:v>2.6212399999999998</c:v>
                </c:pt>
                <c:pt idx="436" formatCode="General">
                  <c:v>2.6272500000000001</c:v>
                </c:pt>
                <c:pt idx="437" formatCode="General">
                  <c:v>2.63327</c:v>
                </c:pt>
                <c:pt idx="438" formatCode="General">
                  <c:v>2.6392799999999998</c:v>
                </c:pt>
                <c:pt idx="439" formatCode="General">
                  <c:v>2.6452900000000001</c:v>
                </c:pt>
                <c:pt idx="440" formatCode="General">
                  <c:v>2.6513</c:v>
                </c:pt>
                <c:pt idx="441" formatCode="General">
                  <c:v>2.6573099999999998</c:v>
                </c:pt>
                <c:pt idx="442" formatCode="General">
                  <c:v>2.6633300000000002</c:v>
                </c:pt>
                <c:pt idx="443" formatCode="General">
                  <c:v>2.66934</c:v>
                </c:pt>
                <c:pt idx="444" formatCode="General">
                  <c:v>2.6753499999999999</c:v>
                </c:pt>
                <c:pt idx="445" formatCode="General">
                  <c:v>2.6813600000000002</c:v>
                </c:pt>
                <c:pt idx="446" formatCode="General">
                  <c:v>2.68737</c:v>
                </c:pt>
                <c:pt idx="447" formatCode="General">
                  <c:v>2.69339</c:v>
                </c:pt>
                <c:pt idx="448" formatCode="General">
                  <c:v>2.6993999999999998</c:v>
                </c:pt>
                <c:pt idx="449" formatCode="General">
                  <c:v>2.7054100000000001</c:v>
                </c:pt>
                <c:pt idx="450" formatCode="General">
                  <c:v>2.7114199999999999</c:v>
                </c:pt>
                <c:pt idx="451" formatCode="General">
                  <c:v>2.7174299999999998</c:v>
                </c:pt>
                <c:pt idx="452" formatCode="General">
                  <c:v>2.7234500000000001</c:v>
                </c:pt>
                <c:pt idx="453" formatCode="General">
                  <c:v>2.72946</c:v>
                </c:pt>
                <c:pt idx="454" formatCode="General">
                  <c:v>2.7354699999999998</c:v>
                </c:pt>
                <c:pt idx="455" formatCode="General">
                  <c:v>2.7414800000000001</c:v>
                </c:pt>
                <c:pt idx="456" formatCode="General">
                  <c:v>2.74749</c:v>
                </c:pt>
                <c:pt idx="457" formatCode="General">
                  <c:v>2.7535099999999999</c:v>
                </c:pt>
                <c:pt idx="458" formatCode="General">
                  <c:v>2.7595200000000002</c:v>
                </c:pt>
                <c:pt idx="459" formatCode="General">
                  <c:v>2.76553</c:v>
                </c:pt>
                <c:pt idx="460" formatCode="General">
                  <c:v>2.7715399999999999</c:v>
                </c:pt>
                <c:pt idx="461" formatCode="General">
                  <c:v>2.7775500000000002</c:v>
                </c:pt>
                <c:pt idx="462" formatCode="General">
                  <c:v>2.7835700000000001</c:v>
                </c:pt>
                <c:pt idx="463" formatCode="General">
                  <c:v>2.7895799999999999</c:v>
                </c:pt>
                <c:pt idx="464" formatCode="General">
                  <c:v>2.7955899999999998</c:v>
                </c:pt>
                <c:pt idx="465" formatCode="General">
                  <c:v>2.8016000000000001</c:v>
                </c:pt>
                <c:pt idx="466" formatCode="General">
                  <c:v>2.80762</c:v>
                </c:pt>
                <c:pt idx="467" formatCode="General">
                  <c:v>2.8136299999999999</c:v>
                </c:pt>
                <c:pt idx="468" formatCode="General">
                  <c:v>2.8196400000000001</c:v>
                </c:pt>
                <c:pt idx="469" formatCode="General">
                  <c:v>2.82565</c:v>
                </c:pt>
                <c:pt idx="470" formatCode="General">
                  <c:v>2.8316599999999998</c:v>
                </c:pt>
                <c:pt idx="471" formatCode="General">
                  <c:v>2.8376800000000002</c:v>
                </c:pt>
                <c:pt idx="472" formatCode="General">
                  <c:v>2.8436900000000001</c:v>
                </c:pt>
                <c:pt idx="473" formatCode="General">
                  <c:v>2.8496999999999999</c:v>
                </c:pt>
                <c:pt idx="474" formatCode="General">
                  <c:v>2.8557100000000002</c:v>
                </c:pt>
                <c:pt idx="475" formatCode="General">
                  <c:v>2.86172</c:v>
                </c:pt>
                <c:pt idx="476" formatCode="General">
                  <c:v>2.86774</c:v>
                </c:pt>
                <c:pt idx="477" formatCode="General">
                  <c:v>2.8737499999999998</c:v>
                </c:pt>
                <c:pt idx="478" formatCode="General">
                  <c:v>2.8797600000000001</c:v>
                </c:pt>
                <c:pt idx="479" formatCode="General">
                  <c:v>2.8857699999999999</c:v>
                </c:pt>
                <c:pt idx="480" formatCode="General">
                  <c:v>2.8917799999999998</c:v>
                </c:pt>
                <c:pt idx="481" formatCode="General">
                  <c:v>2.8978000000000002</c:v>
                </c:pt>
                <c:pt idx="482" formatCode="General">
                  <c:v>2.90381</c:v>
                </c:pt>
                <c:pt idx="483" formatCode="General">
                  <c:v>2.9098199999999999</c:v>
                </c:pt>
                <c:pt idx="484" formatCode="General">
                  <c:v>2.9158300000000001</c:v>
                </c:pt>
                <c:pt idx="485" formatCode="General">
                  <c:v>2.92184</c:v>
                </c:pt>
                <c:pt idx="486" formatCode="General">
                  <c:v>2.9278599999999999</c:v>
                </c:pt>
                <c:pt idx="487" formatCode="General">
                  <c:v>2.9338700000000002</c:v>
                </c:pt>
                <c:pt idx="488" formatCode="General">
                  <c:v>2.93988</c:v>
                </c:pt>
                <c:pt idx="489" formatCode="General">
                  <c:v>2.9458899999999999</c:v>
                </c:pt>
                <c:pt idx="490" formatCode="General">
                  <c:v>2.9519000000000002</c:v>
                </c:pt>
                <c:pt idx="491" formatCode="General">
                  <c:v>2.9579200000000001</c:v>
                </c:pt>
                <c:pt idx="492" formatCode="General">
                  <c:v>2.96393</c:v>
                </c:pt>
                <c:pt idx="493" formatCode="General">
                  <c:v>2.9699399999999998</c:v>
                </c:pt>
                <c:pt idx="494" formatCode="General">
                  <c:v>2.9759500000000001</c:v>
                </c:pt>
                <c:pt idx="495" formatCode="General">
                  <c:v>2.9819599999999999</c:v>
                </c:pt>
                <c:pt idx="496" formatCode="General">
                  <c:v>2.9879799999999999</c:v>
                </c:pt>
                <c:pt idx="497" formatCode="General">
                  <c:v>2.9939900000000002</c:v>
                </c:pt>
                <c:pt idx="498" formatCode="General">
                  <c:v>3</c:v>
                </c:pt>
              </c:numCache>
            </c:numRef>
          </c:xVal>
          <c:yVal>
            <c:numRef>
              <c:f>Tool!$G$5:$G$503</c:f>
              <c:numCache>
                <c:formatCode>0.00E+00</c:formatCode>
                <c:ptCount val="499"/>
                <c:pt idx="0">
                  <c:v>0.50829561719754579</c:v>
                </c:pt>
                <c:pt idx="1">
                  <c:v>0.51653000493844892</c:v>
                </c:pt>
                <c:pt idx="2">
                  <c:v>0.52470232937798555</c:v>
                </c:pt>
                <c:pt idx="3">
                  <c:v>0.53281117649925713</c:v>
                </c:pt>
                <c:pt idx="4">
                  <c:v>0.54085550344762845</c:v>
                </c:pt>
                <c:pt idx="5">
                  <c:v>0.54883367701294206</c:v>
                </c:pt>
                <c:pt idx="6">
                  <c:v>0.55674394415030326</c:v>
                </c:pt>
                <c:pt idx="7">
                  <c:v>0.56458554303129249</c:v>
                </c:pt>
                <c:pt idx="8">
                  <c:v>0.57235595152381413</c:v>
                </c:pt>
                <c:pt idx="9">
                  <c:v>0.58005308746985462</c:v>
                </c:pt>
                <c:pt idx="10">
                  <c:v>0.58767592022757142</c:v>
                </c:pt>
                <c:pt idx="11">
                  <c:v>0.59522156864750753</c:v>
                </c:pt>
                <c:pt idx="12">
                  <c:v>0.60268825104465695</c:v>
                </c:pt>
                <c:pt idx="13">
                  <c:v>0.61007279502036071</c:v>
                </c:pt>
                <c:pt idx="14">
                  <c:v>0.61737251843237473</c:v>
                </c:pt>
                <c:pt idx="15">
                  <c:v>0.62458531064685596</c:v>
                </c:pt>
                <c:pt idx="16">
                  <c:v>0.63170633120799646</c:v>
                </c:pt>
                <c:pt idx="17">
                  <c:v>0.63873442719556306</c:v>
                </c:pt>
                <c:pt idx="18">
                  <c:v>0.64566516765324322</c:v>
                </c:pt>
                <c:pt idx="19">
                  <c:v>0.65249385948243821</c:v>
                </c:pt>
                <c:pt idx="20">
                  <c:v>0.65921856980069049</c:v>
                </c:pt>
                <c:pt idx="21">
                  <c:v>0.66583189796079512</c:v>
                </c:pt>
                <c:pt idx="22">
                  <c:v>0.67233018941772849</c:v>
                </c:pt>
                <c:pt idx="23">
                  <c:v>0.67870730408800173</c:v>
                </c:pt>
                <c:pt idx="24">
                  <c:v>0.6849583610692912</c:v>
                </c:pt>
                <c:pt idx="25">
                  <c:v>0.69107680161725304</c:v>
                </c:pt>
                <c:pt idx="26">
                  <c:v>0.69705505860804051</c:v>
                </c:pt>
                <c:pt idx="27">
                  <c:v>0.70288606492322314</c:v>
                </c:pt>
                <c:pt idx="28">
                  <c:v>0.70856172512894045</c:v>
                </c:pt>
                <c:pt idx="29">
                  <c:v>0.71407286563505201</c:v>
                </c:pt>
                <c:pt idx="30">
                  <c:v>0.71940837583675887</c:v>
                </c:pt>
                <c:pt idx="31">
                  <c:v>0.72455838437602871</c:v>
                </c:pt>
                <c:pt idx="32">
                  <c:v>0.72951021405408423</c:v>
                </c:pt>
                <c:pt idx="33">
                  <c:v>0.73424991015311114</c:v>
                </c:pt>
                <c:pt idx="34">
                  <c:v>0.73876219059575909</c:v>
                </c:pt>
                <c:pt idx="35">
                  <c:v>0.74303039610472255</c:v>
                </c:pt>
                <c:pt idx="36">
                  <c:v>0.74703557153555911</c:v>
                </c:pt>
                <c:pt idx="37">
                  <c:v>0.75075460860537047</c:v>
                </c:pt>
                <c:pt idx="38">
                  <c:v>0.75416537910924664</c:v>
                </c:pt>
                <c:pt idx="39">
                  <c:v>0.75723784728893417</c:v>
                </c:pt>
                <c:pt idx="40">
                  <c:v>0.75994094070339668</c:v>
                </c:pt>
                <c:pt idx="41">
                  <c:v>0.76223887555907033</c:v>
                </c:pt>
                <c:pt idx="42">
                  <c:v>0.764088171439959</c:v>
                </c:pt>
                <c:pt idx="43">
                  <c:v>0.76543917963167918</c:v>
                </c:pt>
                <c:pt idx="44">
                  <c:v>0.76623393677486595</c:v>
                </c:pt>
                <c:pt idx="45">
                  <c:v>0.76640485744156839</c:v>
                </c:pt>
                <c:pt idx="46">
                  <c:v>0.76586852436027364</c:v>
                </c:pt>
                <c:pt idx="47">
                  <c:v>0.76452694760237183</c:v>
                </c:pt>
                <c:pt idx="48">
                  <c:v>0.76226004738341924</c:v>
                </c:pt>
                <c:pt idx="49">
                  <c:v>0.75891971502978162</c:v>
                </c:pt>
                <c:pt idx="50">
                  <c:v>0.75432256652183605</c:v>
                </c:pt>
                <c:pt idx="51">
                  <c:v>0.74823520874165328</c:v>
                </c:pt>
                <c:pt idx="52">
                  <c:v>0.7403597565274207</c:v>
                </c:pt>
                <c:pt idx="53">
                  <c:v>0.73030928745766377</c:v>
                </c:pt>
                <c:pt idx="54">
                  <c:v>0.71757050986864612</c:v>
                </c:pt>
                <c:pt idx="55">
                  <c:v>0.70145816767258895</c:v>
                </c:pt>
                <c:pt idx="56">
                  <c:v>0.6810426040933909</c:v>
                </c:pt>
                <c:pt idx="57">
                  <c:v>0.65507691156917303</c:v>
                </c:pt>
                <c:pt idx="58">
                  <c:v>0.62196413782353788</c:v>
                </c:pt>
                <c:pt idx="59">
                  <c:v>0.57994852470560354</c:v>
                </c:pt>
                <c:pt idx="60">
                  <c:v>0.52804149584719562</c:v>
                </c:pt>
                <c:pt idx="61">
                  <c:v>0.4680521859152893</c:v>
                </c:pt>
                <c:pt idx="62">
                  <c:v>0.40587920594708976</c:v>
                </c:pt>
                <c:pt idx="63">
                  <c:v>0.34845946464818156</c:v>
                </c:pt>
                <c:pt idx="64">
                  <c:v>0.29946323037536138</c:v>
                </c:pt>
                <c:pt idx="65">
                  <c:v>0.2591157811783899</c:v>
                </c:pt>
                <c:pt idx="66">
                  <c:v>0.22615727171303543</c:v>
                </c:pt>
                <c:pt idx="67">
                  <c:v>0.19910681230665647</c:v>
                </c:pt>
                <c:pt idx="68">
                  <c:v>0.17669478109968009</c:v>
                </c:pt>
                <c:pt idx="69">
                  <c:v>0.15792559237207787</c:v>
                </c:pt>
                <c:pt idx="70">
                  <c:v>0.14204520931199438</c:v>
                </c:pt>
                <c:pt idx="71">
                  <c:v>0.12847594124869735</c:v>
                </c:pt>
                <c:pt idx="72">
                  <c:v>0.11678262144498382</c:v>
                </c:pt>
                <c:pt idx="73">
                  <c:v>0.10662573895922636</c:v>
                </c:pt>
                <c:pt idx="74">
                  <c:v>9.7739668405893779E-2</c:v>
                </c:pt>
                <c:pt idx="75">
                  <c:v>8.9915060341641054E-2</c:v>
                </c:pt>
                <c:pt idx="76">
                  <c:v>8.2990243525198876E-2</c:v>
                </c:pt>
                <c:pt idx="77">
                  <c:v>7.6826729308108341E-2</c:v>
                </c:pt>
                <c:pt idx="78">
                  <c:v>7.1308367253375388E-2</c:v>
                </c:pt>
                <c:pt idx="79">
                  <c:v>6.6362089134757468E-2</c:v>
                </c:pt>
                <c:pt idx="80">
                  <c:v>6.1898408421396323E-2</c:v>
                </c:pt>
                <c:pt idx="81">
                  <c:v>5.784930242371563E-2</c:v>
                </c:pt>
                <c:pt idx="82">
                  <c:v>5.4195188090012947E-2</c:v>
                </c:pt>
                <c:pt idx="83">
                  <c:v>5.0841324675322763E-2</c:v>
                </c:pt>
                <c:pt idx="84">
                  <c:v>4.7793065289420976E-2</c:v>
                </c:pt>
                <c:pt idx="85">
                  <c:v>4.5007173502355523E-2</c:v>
                </c:pt>
                <c:pt idx="86">
                  <c:v>4.2417673827052749E-2</c:v>
                </c:pt>
                <c:pt idx="87">
                  <c:v>4.0087271971207025E-2</c:v>
                </c:pt>
                <c:pt idx="88">
                  <c:v>3.7873439549695506E-2</c:v>
                </c:pt>
                <c:pt idx="89">
                  <c:v>3.588950965468727E-2</c:v>
                </c:pt>
                <c:pt idx="90">
                  <c:v>3.4004487337245808E-2</c:v>
                </c:pt>
                <c:pt idx="91">
                  <c:v>3.2278011604223451E-2</c:v>
                </c:pt>
                <c:pt idx="92">
                  <c:v>3.0682273917188474E-2</c:v>
                </c:pt>
                <c:pt idx="93">
                  <c:v>2.9153370757575368E-2</c:v>
                </c:pt>
                <c:pt idx="94">
                  <c:v>2.7804307018988311E-2</c:v>
                </c:pt>
                <c:pt idx="95">
                  <c:v>2.643749815341408E-2</c:v>
                </c:pt>
                <c:pt idx="96">
                  <c:v>2.5291772784941751E-2</c:v>
                </c:pt>
                <c:pt idx="97">
                  <c:v>2.4065650039012045E-2</c:v>
                </c:pt>
                <c:pt idx="98">
                  <c:v>2.3084526897725787E-2</c:v>
                </c:pt>
                <c:pt idx="99">
                  <c:v>2.1983533641309689E-2</c:v>
                </c:pt>
                <c:pt idx="100">
                  <c:v>2.1135981048948423E-2</c:v>
                </c:pt>
                <c:pt idx="101">
                  <c:v>2.014586897410748E-2</c:v>
                </c:pt>
                <c:pt idx="102">
                  <c:v>1.9409042514646868E-2</c:v>
                </c:pt>
                <c:pt idx="103">
                  <c:v>1.8515188335007451E-2</c:v>
                </c:pt>
                <c:pt idx="104">
                  <c:v>1.7873422102492056E-2</c:v>
                </c:pt>
                <c:pt idx="105">
                  <c:v>1.7060712811415944E-2</c:v>
                </c:pt>
                <c:pt idx="106">
                  <c:v>1.6503877450784292E-2</c:v>
                </c:pt>
                <c:pt idx="107">
                  <c:v>1.5757176866823708E-2</c:v>
                </c:pt>
                <c:pt idx="108">
                  <c:v>1.5279005913860853E-2</c:v>
                </c:pt>
                <c:pt idx="109">
                  <c:v>1.4583905927886689E-2</c:v>
                </c:pt>
                <c:pt idx="110">
                  <c:v>1.4180355337812549E-2</c:v>
                </c:pt>
                <c:pt idx="111">
                  <c:v>1.3524149010725293E-2</c:v>
                </c:pt>
                <c:pt idx="112">
                  <c:v>1.3191619005804137E-2</c:v>
                </c:pt>
                <c:pt idx="113">
                  <c:v>1.2564552879432332E-2</c:v>
                </c:pt>
                <c:pt idx="114">
                  <c:v>1.2298018707937357E-2</c:v>
                </c:pt>
                <c:pt idx="115">
                  <c:v>1.1694888462391069E-2</c:v>
                </c:pt>
                <c:pt idx="116">
                  <c:v>1.1485733806320127E-2</c:v>
                </c:pt>
                <c:pt idx="117">
                  <c:v>1.0907590047772864E-2</c:v>
                </c:pt>
                <c:pt idx="118">
                  <c:v>1.0741792200521417E-2</c:v>
                </c:pt>
                <c:pt idx="119">
                  <c:v>1.0197249329657699E-2</c:v>
                </c:pt>
                <c:pt idx="120">
                  <c:v>1.0054182536809158E-2</c:v>
                </c:pt>
                <c:pt idx="121">
                  <c:v>9.5595979442951017E-3</c:v>
                </c:pt>
                <c:pt idx="122">
                  <c:v>9.4125988755211186E-3</c:v>
                </c:pt>
                <c:pt idx="123">
                  <c:v>8.9902968469033374E-3</c:v>
                </c:pt>
                <c:pt idx="124">
                  <c:v>8.8095109589363708E-3</c:v>
                </c:pt>
                <c:pt idx="125">
                  <c:v>8.4833058585525364E-3</c:v>
                </c:pt>
                <c:pt idx="126">
                  <c:v>8.2414218453321156E-3</c:v>
                </c:pt>
                <c:pt idx="127">
                  <c:v>8.0295459265463266E-3</c:v>
                </c:pt>
                <c:pt idx="128">
                  <c:v>7.7097351243729222E-3</c:v>
                </c:pt>
                <c:pt idx="129">
                  <c:v>7.6161912080755425E-3</c:v>
                </c:pt>
                <c:pt idx="130">
                  <c:v>7.2205201993869534E-3</c:v>
                </c:pt>
                <c:pt idx="131">
                  <c:v>7.2276106925181329E-3</c:v>
                </c:pt>
                <c:pt idx="132">
                  <c:v>6.7826673849375341E-3</c:v>
                </c:pt>
                <c:pt idx="133">
                  <c:v>6.8478668766877061E-3</c:v>
                </c:pt>
                <c:pt idx="134">
                  <c:v>6.4041905805059997E-3</c:v>
                </c:pt>
                <c:pt idx="135">
                  <c:v>6.4649900138367038E-3</c:v>
                </c:pt>
                <c:pt idx="136">
                  <c:v>6.0876075547550831E-3</c:v>
                </c:pt>
                <c:pt idx="137">
                  <c:v>6.0755206357205813E-3</c:v>
                </c:pt>
                <c:pt idx="138">
                  <c:v>5.8256390675012646E-3</c:v>
                </c:pt>
                <c:pt idx="139">
                  <c:v>5.6875589945374391E-3</c:v>
                </c:pt>
                <c:pt idx="140">
                  <c:v>5.5998158599014514E-3</c:v>
                </c:pt>
                <c:pt idx="141">
                  <c:v>5.3200728850536652E-3</c:v>
                </c:pt>
                <c:pt idx="142">
                  <c:v>5.3834823088513934E-3</c:v>
                </c:pt>
                <c:pt idx="143">
                  <c:v>4.9973685372840318E-3</c:v>
                </c:pt>
                <c:pt idx="144">
                  <c:v>5.1494785102789353E-3</c:v>
                </c:pt>
                <c:pt idx="145">
                  <c:v>4.7394473786662129E-3</c:v>
                </c:pt>
                <c:pt idx="146">
                  <c:v>4.8808080240486411E-3</c:v>
                </c:pt>
                <c:pt idx="147">
                  <c:v>4.5514897846975436E-3</c:v>
                </c:pt>
                <c:pt idx="148">
                  <c:v>4.5795902461852733E-3</c:v>
                </c:pt>
                <c:pt idx="149">
                  <c:v>4.41750124207403E-3</c:v>
                </c:pt>
                <c:pt idx="150">
                  <c:v>4.2695661624436538E-3</c:v>
                </c:pt>
                <c:pt idx="151">
                  <c:v>4.3025713018277076E-3</c:v>
                </c:pt>
                <c:pt idx="152">
                  <c:v>3.9887024091751081E-3</c:v>
                </c:pt>
                <c:pt idx="153">
                  <c:v>4.1650289059418548E-3</c:v>
                </c:pt>
                <c:pt idx="154">
                  <c:v>3.7731228772691209E-3</c:v>
                </c:pt>
                <c:pt idx="155">
                  <c:v>3.9748725838916338E-3</c:v>
                </c:pt>
                <c:pt idx="156">
                  <c:v>3.6384441312037772E-3</c:v>
                </c:pt>
                <c:pt idx="157">
                  <c:v>3.7300410816393697E-3</c:v>
                </c:pt>
                <c:pt idx="158">
                  <c:v>3.5681346236124743E-3</c:v>
                </c:pt>
                <c:pt idx="159">
                  <c:v>3.4612479882382432E-3</c:v>
                </c:pt>
                <c:pt idx="160">
                  <c:v>3.5169539399337482E-3</c:v>
                </c:pt>
                <c:pt idx="161">
                  <c:v>3.2199864475535162E-3</c:v>
                </c:pt>
                <c:pt idx="162">
                  <c:v>3.4306628980037045E-3</c:v>
                </c:pt>
                <c:pt idx="163">
                  <c:v>3.0531339163102486E-3</c:v>
                </c:pt>
                <c:pt idx="164">
                  <c:v>3.2739522994761189E-3</c:v>
                </c:pt>
                <c:pt idx="165">
                  <c:v>2.9761751166172651E-3</c:v>
                </c:pt>
                <c:pt idx="166">
                  <c:v>3.0519847254317197E-3</c:v>
                </c:pt>
                <c:pt idx="167">
                  <c:v>2.960488789426995E-3</c:v>
                </c:pt>
                <c:pt idx="168">
                  <c:v>2.811493811352339E-3</c:v>
                </c:pt>
                <c:pt idx="169">
                  <c:v>2.9449623095863854E-3</c:v>
                </c:pt>
                <c:pt idx="170">
                  <c:v>2.6174869535108927E-3</c:v>
                </c:pt>
                <c:pt idx="171">
                  <c:v>2.8684120667933754E-3</c:v>
                </c:pt>
                <c:pt idx="172">
                  <c:v>2.5159250029579061E-3</c:v>
                </c:pt>
                <c:pt idx="173">
                  <c:v>2.70598733709496E-3</c:v>
                </c:pt>
                <c:pt idx="174">
                  <c:v>2.5039717281247183E-3</c:v>
                </c:pt>
                <c:pt idx="175">
                  <c:v>2.4872515248250395E-3</c:v>
                </c:pt>
                <c:pt idx="176">
                  <c:v>2.5274354603828236E-3</c:v>
                </c:pt>
                <c:pt idx="177">
                  <c:v>2.2817339059256112E-3</c:v>
                </c:pt>
                <c:pt idx="178">
                  <c:v>2.5106220474134344E-3</c:v>
                </c:pt>
                <c:pt idx="179">
                  <c:v>2.1575821042106431E-3</c:v>
                </c:pt>
                <c:pt idx="180">
                  <c:v>2.4031813694911099E-3</c:v>
                </c:pt>
                <c:pt idx="181">
                  <c:v>2.1371857973857735E-3</c:v>
                </c:pt>
                <c:pt idx="182">
                  <c:v>2.2141877758887758E-3</c:v>
                </c:pt>
                <c:pt idx="183">
                  <c:v>2.1792254050631349E-3</c:v>
                </c:pt>
                <c:pt idx="184">
                  <c:v>2.0097929635077148E-3</c:v>
                </c:pt>
                <c:pt idx="185">
                  <c:v>2.2023409253345057E-3</c:v>
                </c:pt>
                <c:pt idx="186">
                  <c:v>1.8718219533386275E-3</c:v>
                </c:pt>
                <c:pt idx="187">
                  <c:v>2.1376572537224856E-3</c:v>
                </c:pt>
                <c:pt idx="188">
                  <c:v>1.8426630491731079E-3</c:v>
                </c:pt>
                <c:pt idx="189">
                  <c:v>1.9766048008454302E-3</c:v>
                </c:pt>
                <c:pt idx="190">
                  <c:v>1.893777186428624E-3</c:v>
                </c:pt>
                <c:pt idx="191">
                  <c:v>1.7796830018303991E-3</c:v>
                </c:pt>
                <c:pt idx="192">
                  <c:v>1.9421504703610222E-3</c:v>
                </c:pt>
                <c:pt idx="193">
                  <c:v>1.6367829758201701E-3</c:v>
                </c:pt>
                <c:pt idx="194">
                  <c:v>1.9067428169958775E-3</c:v>
                </c:pt>
                <c:pt idx="195">
                  <c:v>1.6040435122249455E-3</c:v>
                </c:pt>
                <c:pt idx="196">
                  <c:v>1.7667431853364234E-3</c:v>
                </c:pt>
                <c:pt idx="197">
                  <c:v>1.6616727776918735E-3</c:v>
                </c:pt>
                <c:pt idx="198">
                  <c:v>1.578831159085128E-3</c:v>
                </c:pt>
                <c:pt idx="199">
                  <c:v>1.7255227497198166E-3</c:v>
                </c:pt>
                <c:pt idx="200">
                  <c:v>1.4381996049943667E-3</c:v>
                </c:pt>
                <c:pt idx="201">
                  <c:v>1.7071269824440868E-3</c:v>
                </c:pt>
                <c:pt idx="202">
                  <c:v>1.4087044653386149E-3</c:v>
                </c:pt>
                <c:pt idx="203">
                  <c:v>1.5796274635653895E-3</c:v>
                </c:pt>
                <c:pt idx="204">
                  <c:v>1.4737385002267362E-3</c:v>
                </c:pt>
                <c:pt idx="205">
                  <c:v>1.3999358364825761E-3</c:v>
                </c:pt>
                <c:pt idx="206">
                  <c:v>1.5463895912616128E-3</c:v>
                </c:pt>
                <c:pt idx="207">
                  <c:v>1.2673990742767672E-3</c:v>
                </c:pt>
                <c:pt idx="208">
                  <c:v>1.5342941228332465E-3</c:v>
                </c:pt>
                <c:pt idx="209">
                  <c:v>1.2480736229232249E-3</c:v>
                </c:pt>
                <c:pt idx="210">
                  <c:v>1.4111363876117384E-3</c:v>
                </c:pt>
                <c:pt idx="211">
                  <c:v>1.3223016807524775E-3</c:v>
                </c:pt>
                <c:pt idx="212">
                  <c:v>1.2386235743382763E-3</c:v>
                </c:pt>
                <c:pt idx="213">
                  <c:v>1.3981495236798282E-3</c:v>
                </c:pt>
                <c:pt idx="214">
                  <c:v>1.1195921853565818E-3</c:v>
                </c:pt>
                <c:pt idx="215">
                  <c:v>1.3829926737702063E-3</c:v>
                </c:pt>
                <c:pt idx="216">
                  <c:v>1.1166499527637457E-3</c:v>
                </c:pt>
                <c:pt idx="217">
                  <c:v>1.2574514553857748E-3</c:v>
                </c:pt>
                <c:pt idx="218">
                  <c:v>1.2010010987203543E-3</c:v>
                </c:pt>
                <c:pt idx="219">
                  <c:v>1.0923944329823251E-3</c:v>
                </c:pt>
                <c:pt idx="220">
                  <c:v>1.2742405849039292E-3</c:v>
                </c:pt>
                <c:pt idx="221">
                  <c:v>9.9251256663667104E-4</c:v>
                </c:pt>
                <c:pt idx="222">
                  <c:v>1.24765560965602E-3</c:v>
                </c:pt>
                <c:pt idx="223">
                  <c:v>1.0108786909991563E-3</c:v>
                </c:pt>
                <c:pt idx="224">
                  <c:v>1.1154059423983361E-3</c:v>
                </c:pt>
                <c:pt idx="225">
                  <c:v>1.1042934445884601E-3</c:v>
                </c:pt>
                <c:pt idx="226">
                  <c:v>9.6029952346386391E-4</c:v>
                </c:pt>
                <c:pt idx="227">
                  <c:v>1.1680271846171788E-3</c:v>
                </c:pt>
                <c:pt idx="228">
                  <c:v>8.8558986765006019E-4</c:v>
                </c:pt>
                <c:pt idx="229">
                  <c:v>1.1230579302651958E-3</c:v>
                </c:pt>
                <c:pt idx="230">
                  <c:v>9.282027153499887E-4</c:v>
                </c:pt>
                <c:pt idx="231">
                  <c:v>9.8286660561440844E-4</c:v>
                </c:pt>
                <c:pt idx="232">
                  <c:v>1.0267445431873714E-3</c:v>
                </c:pt>
                <c:pt idx="233">
                  <c:v>8.4283589673445883E-4</c:v>
                </c:pt>
                <c:pt idx="234">
                  <c:v>1.0730942104536379E-3</c:v>
                </c:pt>
                <c:pt idx="235">
                  <c:v>7.9914960883888033E-4</c:v>
                </c:pt>
                <c:pt idx="236">
                  <c:v>1.00480421030389E-3</c:v>
                </c:pt>
                <c:pt idx="237">
                  <c:v>8.6594089417493987E-4</c:v>
                </c:pt>
                <c:pt idx="238">
                  <c:v>8.5926393583063432E-4</c:v>
                </c:pt>
                <c:pt idx="239">
                  <c:v>9.6256109840248258E-4</c:v>
                </c:pt>
                <c:pt idx="240">
                  <c:v>7.4171837200544602E-4</c:v>
                </c:pt>
                <c:pt idx="241">
                  <c:v>9.8332314887810313E-4</c:v>
                </c:pt>
                <c:pt idx="242">
                  <c:v>7.335411441208306E-4</c:v>
                </c:pt>
                <c:pt idx="243">
                  <c:v>8.9004970709061031E-4</c:v>
                </c:pt>
                <c:pt idx="244">
                  <c:v>8.2057613950326262E-4</c:v>
                </c:pt>
                <c:pt idx="245">
                  <c:v>7.4584388434856014E-4</c:v>
                </c:pt>
                <c:pt idx="246">
                  <c:v>9.0538079404587604E-4</c:v>
                </c:pt>
                <c:pt idx="247">
                  <c:v>6.5939974256980444E-4</c:v>
                </c:pt>
                <c:pt idx="248">
                  <c:v>8.9357632173023326E-4</c:v>
                </c:pt>
                <c:pt idx="249">
                  <c:v>6.8824723749943853E-4</c:v>
                </c:pt>
                <c:pt idx="250">
                  <c:v>7.7812120104427888E-4</c:v>
                </c:pt>
                <c:pt idx="251">
                  <c:v>7.8710454806388275E-4</c:v>
                </c:pt>
                <c:pt idx="252">
                  <c:v>6.4561714992348955E-4</c:v>
                </c:pt>
                <c:pt idx="253">
                  <c:v>8.4865749090222962E-4</c:v>
                </c:pt>
                <c:pt idx="254">
                  <c:v>5.9820725311682959E-4</c:v>
                </c:pt>
                <c:pt idx="255">
                  <c:v>8.0051267448778515E-4</c:v>
                </c:pt>
                <c:pt idx="256">
                  <c:v>6.6093323051907165E-4</c:v>
                </c:pt>
                <c:pt idx="257">
                  <c:v>6.7089730904614571E-4</c:v>
                </c:pt>
                <c:pt idx="258">
                  <c:v>7.5903591345034393E-4</c:v>
                </c:pt>
                <c:pt idx="259">
                  <c:v>5.6275542670559443E-4</c:v>
                </c:pt>
                <c:pt idx="260">
                  <c:v>7.8649056186430848E-4</c:v>
                </c:pt>
                <c:pt idx="261">
                  <c:v>5.5915836962072154E-4</c:v>
                </c:pt>
                <c:pt idx="262">
                  <c:v>7.0344473577198252E-4</c:v>
                </c:pt>
                <c:pt idx="263">
                  <c:v>6.4687805627157327E-4</c:v>
                </c:pt>
                <c:pt idx="264">
                  <c:v>5.7276667556547915E-4</c:v>
                </c:pt>
                <c:pt idx="265">
                  <c:v>7.2893332614244245E-4</c:v>
                </c:pt>
                <c:pt idx="266">
                  <c:v>5.0142049892769867E-4</c:v>
                </c:pt>
                <c:pt idx="267">
                  <c:v>7.1484453582485255E-4</c:v>
                </c:pt>
                <c:pt idx="268">
                  <c:v>5.4080127134041958E-4</c:v>
                </c:pt>
                <c:pt idx="269">
                  <c:v>6.0500393261298392E-4</c:v>
                </c:pt>
                <c:pt idx="270">
                  <c:v>6.3891864233171607E-4</c:v>
                </c:pt>
                <c:pt idx="271">
                  <c:v>4.897712025615389E-4</c:v>
                </c:pt>
                <c:pt idx="272">
                  <c:v>6.8965318622800332E-4</c:v>
                </c:pt>
                <c:pt idx="273">
                  <c:v>4.6420379408703983E-4</c:v>
                </c:pt>
                <c:pt idx="274">
                  <c:v>6.3290559255009613E-4</c:v>
                </c:pt>
                <c:pt idx="275">
                  <c:v>5.3835125926976707E-4</c:v>
                </c:pt>
                <c:pt idx="276">
                  <c:v>5.1104393396727849E-4</c:v>
                </c:pt>
                <c:pt idx="277">
                  <c:v>6.2821807006008072E-4</c:v>
                </c:pt>
                <c:pt idx="278">
                  <c:v>4.2812269846986329E-4</c:v>
                </c:pt>
                <c:pt idx="279">
                  <c:v>6.3616160454237557E-4</c:v>
                </c:pt>
                <c:pt idx="280">
                  <c:v>4.5047815001354762E-4</c:v>
                </c:pt>
                <c:pt idx="281">
                  <c:v>5.4395185444973165E-4</c:v>
                </c:pt>
                <c:pt idx="282">
                  <c:v>5.4365216284548118E-4</c:v>
                </c:pt>
                <c:pt idx="283">
                  <c:v>4.296676933443592E-4</c:v>
                </c:pt>
                <c:pt idx="284">
                  <c:v>6.0609990267620909E-4</c:v>
                </c:pt>
                <c:pt idx="285">
                  <c:v>3.9205408149103861E-4</c:v>
                </c:pt>
                <c:pt idx="286">
                  <c:v>5.6726918632175958E-4</c:v>
                </c:pt>
                <c:pt idx="287">
                  <c:v>4.5532250601514648E-4</c:v>
                </c:pt>
                <c:pt idx="288">
                  <c:v>4.5533621242842195E-4</c:v>
                </c:pt>
                <c:pt idx="289">
                  <c:v>5.4633707005829796E-4</c:v>
                </c:pt>
                <c:pt idx="290">
                  <c:v>3.6914799754426828E-4</c:v>
                </c:pt>
                <c:pt idx="291">
                  <c:v>5.6628656564962246E-4</c:v>
                </c:pt>
                <c:pt idx="292">
                  <c:v>3.8173964975459125E-4</c:v>
                </c:pt>
                <c:pt idx="293">
                  <c:v>4.8683336842433503E-4</c:v>
                </c:pt>
                <c:pt idx="294">
                  <c:v>4.6949238860692351E-4</c:v>
                </c:pt>
                <c:pt idx="295">
                  <c:v>3.7710943958456182E-4</c:v>
                </c:pt>
                <c:pt idx="296">
                  <c:v>5.3603992794371794E-4</c:v>
                </c:pt>
                <c:pt idx="297">
                  <c:v>3.3525837204549051E-4</c:v>
                </c:pt>
                <c:pt idx="298">
                  <c:v>5.0723043850954129E-4</c:v>
                </c:pt>
                <c:pt idx="299">
                  <c:v>3.9198686458729372E-4</c:v>
                </c:pt>
                <c:pt idx="300">
                  <c:v>4.0365898611417479E-4</c:v>
                </c:pt>
                <c:pt idx="301">
                  <c:v>4.8102149618727165E-4</c:v>
                </c:pt>
                <c:pt idx="302">
                  <c:v>3.1947001271650523E-4</c:v>
                </c:pt>
                <c:pt idx="303">
                  <c:v>5.053892820296187E-4</c:v>
                </c:pt>
                <c:pt idx="304">
                  <c:v>3.2873627555476964E-4</c:v>
                </c:pt>
                <c:pt idx="305">
                  <c:v>4.3347155017405881E-4</c:v>
                </c:pt>
                <c:pt idx="306">
                  <c:v>4.1237566528737243E-4</c:v>
                </c:pt>
                <c:pt idx="307">
                  <c:v>3.2965858661945091E-4</c:v>
                </c:pt>
                <c:pt idx="308">
                  <c:v>4.7805115227513923E-4</c:v>
                </c:pt>
                <c:pt idx="309">
                  <c:v>2.8938959812110183E-4</c:v>
                </c:pt>
                <c:pt idx="310">
                  <c:v>4.5274244090787679E-4</c:v>
                </c:pt>
                <c:pt idx="311">
                  <c:v>3.4380542048663908E-4</c:v>
                </c:pt>
                <c:pt idx="312">
                  <c:v>3.552884053570165E-4</c:v>
                </c:pt>
                <c:pt idx="313">
                  <c:v>4.2937283542419382E-4</c:v>
                </c:pt>
                <c:pt idx="314">
                  <c:v>2.7657454825356551E-4</c:v>
                </c:pt>
                <c:pt idx="315">
                  <c:v>4.524798266687153E-4</c:v>
                </c:pt>
                <c:pt idx="316">
                  <c:v>2.8766398891106666E-4</c:v>
                </c:pt>
                <c:pt idx="317">
                  <c:v>3.8362875644346153E-4</c:v>
                </c:pt>
                <c:pt idx="318">
                  <c:v>3.687006157530298E-4</c:v>
                </c:pt>
                <c:pt idx="319">
                  <c:v>2.8631402219783409E-4</c:v>
                </c:pt>
                <c:pt idx="320">
                  <c:v>4.2997856785660838E-4</c:v>
                </c:pt>
                <c:pt idx="321">
                  <c:v>2.5200451253313085E-4</c:v>
                </c:pt>
                <c:pt idx="322">
                  <c:v>4.0312009704393661E-4</c:v>
                </c:pt>
                <c:pt idx="323">
                  <c:v>3.0747744528507402E-4</c:v>
                </c:pt>
                <c:pt idx="324">
                  <c:v>3.0996597771416911E-4</c:v>
                </c:pt>
                <c:pt idx="325">
                  <c:v>3.8848118204329763E-4</c:v>
                </c:pt>
                <c:pt idx="326">
                  <c:v>2.3934981098086233E-4</c:v>
                </c:pt>
                <c:pt idx="327">
                  <c:v>4.0600162014655506E-4</c:v>
                </c:pt>
                <c:pt idx="328">
                  <c:v>2.5613470002552473E-4</c:v>
                </c:pt>
                <c:pt idx="329">
                  <c:v>3.3694359428947422E-4</c:v>
                </c:pt>
                <c:pt idx="330">
                  <c:v>3.3552789653987968E-4</c:v>
                </c:pt>
                <c:pt idx="331">
                  <c:v>2.4683372453045767E-4</c:v>
                </c:pt>
                <c:pt idx="332">
                  <c:v>3.8949239463272072E-4</c:v>
                </c:pt>
                <c:pt idx="333">
                  <c:v>2.2187305554265675E-4</c:v>
                </c:pt>
                <c:pt idx="334">
                  <c:v>3.5738513128754913E-4</c:v>
                </c:pt>
                <c:pt idx="335">
                  <c:v>2.8058477584390199E-4</c:v>
                </c:pt>
                <c:pt idx="336">
                  <c:v>2.6763672022925419E-4</c:v>
                </c:pt>
                <c:pt idx="337">
                  <c:v>3.5567822540220429E-4</c:v>
                </c:pt>
                <c:pt idx="338">
                  <c:v>2.0749473708773648E-4</c:v>
                </c:pt>
                <c:pt idx="339">
                  <c:v>3.6422524401866197E-4</c:v>
                </c:pt>
                <c:pt idx="340">
                  <c:v>2.3264454422551958E-4</c:v>
                </c:pt>
                <c:pt idx="341">
                  <c:v>2.930574348859622E-4</c:v>
                </c:pt>
                <c:pt idx="342">
                  <c:v>3.1033948912035806E-4</c:v>
                </c:pt>
                <c:pt idx="343">
                  <c:v>2.113918438599034E-4</c:v>
                </c:pt>
                <c:pt idx="344">
                  <c:v>3.5431661530138772E-4</c:v>
                </c:pt>
                <c:pt idx="345">
                  <c:v>1.9839280894911251E-4</c:v>
                </c:pt>
                <c:pt idx="346">
                  <c:v>3.1454709147017397E-4</c:v>
                </c:pt>
                <c:pt idx="347">
                  <c:v>2.6120861520991483E-4</c:v>
                </c:pt>
                <c:pt idx="348">
                  <c:v>2.284935828238855E-4</c:v>
                </c:pt>
                <c:pt idx="349">
                  <c:v>3.2849178019976242E-4</c:v>
                </c:pt>
                <c:pt idx="350">
                  <c:v>1.8111966601759737E-4</c:v>
                </c:pt>
                <c:pt idx="351">
                  <c:v>3.255248349628526E-4</c:v>
                </c:pt>
                <c:pt idx="352">
                  <c:v>2.1607628733031945E-4</c:v>
                </c:pt>
                <c:pt idx="353">
                  <c:v>2.5176674660615266E-4</c:v>
                </c:pt>
                <c:pt idx="354">
                  <c:v>2.908838984660672E-4</c:v>
                </c:pt>
                <c:pt idx="355">
                  <c:v>1.8045338659213793E-4</c:v>
                </c:pt>
                <c:pt idx="356">
                  <c:v>3.2235206015078602E-4</c:v>
                </c:pt>
                <c:pt idx="357">
                  <c:v>1.8126247773742868E-4</c:v>
                </c:pt>
                <c:pt idx="358">
                  <c:v>2.7385462093114252E-4</c:v>
                </c:pt>
                <c:pt idx="359">
                  <c:v>2.4763183307145497E-4</c:v>
                </c:pt>
                <c:pt idx="360">
                  <c:v>1.9296886405075777E-4</c:v>
                </c:pt>
                <c:pt idx="361">
                  <c:v>3.0469073596523909E-4</c:v>
                </c:pt>
                <c:pt idx="362">
                  <c:v>1.6051743932943879E-4</c:v>
                </c:pt>
                <c:pt idx="363">
                  <c:v>2.8856286365466809E-4</c:v>
                </c:pt>
                <c:pt idx="364">
                  <c:v>2.0542453162020478E-4</c:v>
                </c:pt>
                <c:pt idx="365">
                  <c:v>2.1321184729712316E-4</c:v>
                </c:pt>
                <c:pt idx="366">
                  <c:v>2.7509519873921648E-4</c:v>
                </c:pt>
                <c:pt idx="367">
                  <c:v>1.5464340310271626E-4</c:v>
                </c:pt>
                <c:pt idx="368">
                  <c:v>2.9183974998361011E-4</c:v>
                </c:pt>
                <c:pt idx="369">
                  <c:v>1.7014606842785326E-4</c:v>
                </c:pt>
                <c:pt idx="370">
                  <c:v>2.3494989560431486E-4</c:v>
                </c:pt>
                <c:pt idx="371">
                  <c:v>2.3818326302787969E-4</c:v>
                </c:pt>
                <c:pt idx="372">
                  <c:v>1.6174236954087548E-4</c:v>
                </c:pt>
                <c:pt idx="373">
                  <c:v>2.822641261079302E-4</c:v>
                </c:pt>
                <c:pt idx="374">
                  <c:v>1.4593387484686563E-4</c:v>
                </c:pt>
                <c:pt idx="375">
                  <c:v>2.5246030265789195E-4</c:v>
                </c:pt>
                <c:pt idx="376">
                  <c:v>1.9952328932562193E-4</c:v>
                </c:pt>
                <c:pt idx="377">
                  <c:v>1.7786668240027888E-4</c:v>
                </c:pt>
                <c:pt idx="378">
                  <c:v>2.6094878206224238E-4</c:v>
                </c:pt>
                <c:pt idx="379">
                  <c:v>1.3460933061726195E-4</c:v>
                </c:pt>
                <c:pt idx="380">
                  <c:v>2.6142333752100528E-4</c:v>
                </c:pt>
                <c:pt idx="381">
                  <c:v>1.6447664115861124E-4</c:v>
                </c:pt>
                <c:pt idx="382">
                  <c:v>1.9797121548973632E-4</c:v>
                </c:pt>
                <c:pt idx="383">
                  <c:v>2.3105295991229975E-4</c:v>
                </c:pt>
                <c:pt idx="384">
                  <c:v>1.356579127478013E-4</c:v>
                </c:pt>
                <c:pt idx="385">
                  <c:v>2.5951991695580517E-4</c:v>
                </c:pt>
                <c:pt idx="386">
                  <c:v>1.3739038526039754E-4</c:v>
                </c:pt>
                <c:pt idx="387">
                  <c:v>2.1690457246039085E-4</c:v>
                </c:pt>
                <c:pt idx="388">
                  <c:v>1.969315359229159E-4</c:v>
                </c:pt>
                <c:pt idx="389">
                  <c:v>1.465816693060997E-4</c:v>
                </c:pt>
                <c:pt idx="390">
                  <c:v>2.465732154798444E-4</c:v>
                </c:pt>
                <c:pt idx="391">
                  <c:v>1.2085721640690463E-4</c:v>
                </c:pt>
                <c:pt idx="392">
                  <c:v>2.3031568016527537E-4</c:v>
                </c:pt>
                <c:pt idx="393">
                  <c:v>1.6331972022900202E-4</c:v>
                </c:pt>
                <c:pt idx="394">
                  <c:v>1.6355869142342628E-4</c:v>
                </c:pt>
                <c:pt idx="395">
                  <c:v>2.2433929306812952E-4</c:v>
                </c:pt>
                <c:pt idx="396">
                  <c:v>1.155747011324424E-4</c:v>
                </c:pt>
                <c:pt idx="397">
                  <c:v>2.3521664886259051E-4</c:v>
                </c:pt>
                <c:pt idx="398">
                  <c:v>1.3447849652657473E-4</c:v>
                </c:pt>
                <c:pt idx="399">
                  <c:v>1.8220910357520995E-4</c:v>
                </c:pt>
                <c:pt idx="400">
                  <c:v>1.9593644927629432E-4</c:v>
                </c:pt>
                <c:pt idx="401">
                  <c:v>1.2041357305713054E-4</c:v>
                </c:pt>
                <c:pt idx="402">
                  <c:v>2.3035386691524644E-4</c:v>
                </c:pt>
                <c:pt idx="403">
                  <c:v>1.1354068241253807E-4</c:v>
                </c:pt>
                <c:pt idx="404">
                  <c:v>1.9838336645423962E-4</c:v>
                </c:pt>
                <c:pt idx="405">
                  <c:v>1.652782678507497E-4</c:v>
                </c:pt>
                <c:pt idx="406">
                  <c:v>1.3280635516145666E-4</c:v>
                </c:pt>
                <c:pt idx="407">
                  <c:v>2.1618035227077476E-4</c:v>
                </c:pt>
                <c:pt idx="408">
                  <c:v>1.0216312093975039E-4</c:v>
                </c:pt>
                <c:pt idx="409">
                  <c:v>2.0871711517225227E-4</c:v>
                </c:pt>
                <c:pt idx="410">
                  <c:v>1.3627268297150327E-4</c:v>
                </c:pt>
                <c:pt idx="411">
                  <c:v>1.4930313761219938E-4</c:v>
                </c:pt>
                <c:pt idx="412">
                  <c:v>1.9459895504051882E-4</c:v>
                </c:pt>
                <c:pt idx="413">
                  <c:v>1.0044370227662552E-4</c:v>
                </c:pt>
                <c:pt idx="414">
                  <c:v>2.1114359711102345E-4</c:v>
                </c:pt>
                <c:pt idx="415">
                  <c:v>1.1228192579331381E-4</c:v>
                </c:pt>
                <c:pt idx="416">
                  <c:v>1.6620863649925873E-4</c:v>
                </c:pt>
                <c:pt idx="417">
                  <c:v>1.6849642083057039E-4</c:v>
                </c:pt>
                <c:pt idx="418">
                  <c:v>1.0705350874865833E-4</c:v>
                </c:pt>
                <c:pt idx="419">
                  <c:v>2.0499128954421517E-4</c:v>
                </c:pt>
                <c:pt idx="420">
                  <c:v>9.5655532465683353E-5</c:v>
                </c:pt>
                <c:pt idx="421">
                  <c:v>1.8012578805636135E-4</c:v>
                </c:pt>
                <c:pt idx="422">
                  <c:v>1.4122173849669302E-4</c:v>
                </c:pt>
                <c:pt idx="423">
                  <c:v>1.1958975107555011E-4</c:v>
                </c:pt>
                <c:pt idx="424">
                  <c:v>1.9096731590442898E-4</c:v>
                </c:pt>
                <c:pt idx="425">
                  <c:v>8.7500246219736818E-5</c:v>
                </c:pt>
                <c:pt idx="426">
                  <c:v>1.8845459618266932E-4</c:v>
                </c:pt>
                <c:pt idx="427">
                  <c:v>1.1603066784731456E-4</c:v>
                </c:pt>
                <c:pt idx="428">
                  <c:v>1.350663349164049E-4</c:v>
                </c:pt>
                <c:pt idx="429">
                  <c:v>1.7088456461818364E-4</c:v>
                </c:pt>
                <c:pt idx="430">
                  <c:v>8.7632809356079041E-5</c:v>
                </c:pt>
                <c:pt idx="431">
                  <c:v>1.8966036245116896E-4</c:v>
                </c:pt>
                <c:pt idx="432">
                  <c:v>9.5632150631033832E-5</c:v>
                </c:pt>
                <c:pt idx="433">
                  <c:v>1.5034290089900837E-4</c:v>
                </c:pt>
                <c:pt idx="434">
                  <c:v>1.472967895349976E-4</c:v>
                </c:pt>
                <c:pt idx="435">
                  <c:v>9.4754275202737356E-5</c:v>
                </c:pt>
                <c:pt idx="436">
                  <c:v>1.8336872052125539E-4</c:v>
                </c:pt>
                <c:pt idx="437">
                  <c:v>8.1863073529657107E-5</c:v>
                </c:pt>
                <c:pt idx="438">
                  <c:v>1.6263903151878179E-4</c:v>
                </c:pt>
                <c:pt idx="439">
                  <c:v>1.2304306668059936E-4</c:v>
                </c:pt>
                <c:pt idx="440">
                  <c:v>1.0673852889447958E-4</c:v>
                </c:pt>
                <c:pt idx="441">
                  <c:v>1.7032526473025853E-4</c:v>
                </c:pt>
                <c:pt idx="442">
                  <c:v>7.5521707594438905E-5</c:v>
                </c:pt>
                <c:pt idx="443">
                  <c:v>1.6984362255969415E-4</c:v>
                </c:pt>
                <c:pt idx="444">
                  <c:v>1.0087763934104755E-4</c:v>
                </c:pt>
                <c:pt idx="445">
                  <c:v>1.2101201918369782E-4</c:v>
                </c:pt>
                <c:pt idx="446">
                  <c:v>1.5214316825653431E-4</c:v>
                </c:pt>
                <c:pt idx="447">
                  <c:v>7.6357597081711792E-5</c:v>
                </c:pt>
                <c:pt idx="448">
                  <c:v>1.7073405101264416E-4</c:v>
                </c:pt>
                <c:pt idx="449">
                  <c:v>8.3033559004051113E-5</c:v>
                </c:pt>
                <c:pt idx="450">
                  <c:v>1.3492042547728008E-4</c:v>
                </c:pt>
                <c:pt idx="451">
                  <c:v>1.3102152487713621E-4</c:v>
                </c:pt>
                <c:pt idx="452">
                  <c:v>8.3209673153468347E-5</c:v>
                </c:pt>
                <c:pt idx="453">
                  <c:v>1.6506445262131039E-4</c:v>
                </c:pt>
                <c:pt idx="454">
                  <c:v>7.1024667915912238E-5</c:v>
                </c:pt>
                <c:pt idx="455">
                  <c:v>1.461375853714261E-4</c:v>
                </c:pt>
                <c:pt idx="456">
                  <c:v>1.0940325336478252E-4</c:v>
                </c:pt>
                <c:pt idx="457">
                  <c:v>9.4256419496685544E-5</c:v>
                </c:pt>
                <c:pt idx="458">
                  <c:v>1.5349161598333718E-4</c:v>
                </c:pt>
                <c:pt idx="459">
                  <c:v>6.5508778033597791E-5</c:v>
                </c:pt>
                <c:pt idx="460">
                  <c:v>1.5286659204261611E-4</c:v>
                </c:pt>
                <c:pt idx="461">
                  <c:v>8.9589225039732196E-5</c:v>
                </c:pt>
                <c:pt idx="462">
                  <c:v>1.0730447538343447E-4</c:v>
                </c:pt>
                <c:pt idx="463">
                  <c:v>1.3738579025571738E-4</c:v>
                </c:pt>
                <c:pt idx="464">
                  <c:v>6.6281035518041807E-5</c:v>
                </c:pt>
                <c:pt idx="465">
                  <c:v>1.5406787793997251E-4</c:v>
                </c:pt>
                <c:pt idx="466">
                  <c:v>7.3499514855606914E-5</c:v>
                </c:pt>
                <c:pt idx="467">
                  <c:v>1.2010642238534785E-4</c:v>
                </c:pt>
                <c:pt idx="468">
                  <c:v>1.1861571503648945E-4</c:v>
                </c:pt>
                <c:pt idx="469">
                  <c:v>7.2375699780983808E-5</c:v>
                </c:pt>
                <c:pt idx="470">
                  <c:v>1.4950180425889821E-4</c:v>
                </c:pt>
                <c:pt idx="471">
                  <c:v>6.2470631987320214E-5</c:v>
                </c:pt>
                <c:pt idx="472">
                  <c:v>1.3063668334762214E-4</c:v>
                </c:pt>
                <c:pt idx="473">
                  <c:v>9.9257070248842593E-5</c:v>
                </c:pt>
                <c:pt idx="474">
                  <c:v>8.2273638919765364E-5</c:v>
                </c:pt>
                <c:pt idx="475">
                  <c:v>1.3967356947540012E-4</c:v>
                </c:pt>
                <c:pt idx="476">
                  <c:v>5.7108564575986015E-5</c:v>
                </c:pt>
                <c:pt idx="477">
                  <c:v>1.3733555246670109E-4</c:v>
                </c:pt>
                <c:pt idx="478">
                  <c:v>8.1284627478625323E-5</c:v>
                </c:pt>
                <c:pt idx="479">
                  <c:v>9.4106438645137137E-5</c:v>
                </c:pt>
                <c:pt idx="480">
                  <c:v>1.2571802311111109E-4</c:v>
                </c:pt>
                <c:pt idx="481">
                  <c:v>5.7308675453285298E-5</c:v>
                </c:pt>
                <c:pt idx="482">
                  <c:v>1.3924829074497179E-4</c:v>
                </c:pt>
                <c:pt idx="483">
                  <c:v>6.64097495328942E-5</c:v>
                </c:pt>
                <c:pt idx="484">
                  <c:v>1.0595085001237331E-4</c:v>
                </c:pt>
                <c:pt idx="485">
                  <c:v>1.0917756498047775E-4</c:v>
                </c:pt>
                <c:pt idx="486">
                  <c:v>6.2323653409049014E-5</c:v>
                </c:pt>
                <c:pt idx="487">
                  <c:v>1.3607192745978332E-4</c:v>
                </c:pt>
                <c:pt idx="488">
                  <c:v>5.5833559703328951E-5</c:v>
                </c:pt>
                <c:pt idx="489">
                  <c:v>1.1604844512424059E-4</c:v>
                </c:pt>
                <c:pt idx="490">
                  <c:v>9.1818343192121945E-5</c:v>
                </c:pt>
                <c:pt idx="491">
                  <c:v>7.0905627360442878E-5</c:v>
                </c:pt>
                <c:pt idx="492">
                  <c:v>1.2815320220441035E-4</c:v>
                </c:pt>
                <c:pt idx="493">
                  <c:v>5.0174372086995957E-5</c:v>
                </c:pt>
                <c:pt idx="494">
                  <c:v>1.2298618531351801E-4</c:v>
                </c:pt>
                <c:pt idx="495">
                  <c:v>7.5369440863707834E-5</c:v>
                </c:pt>
                <c:pt idx="496">
                  <c:v>8.1506778526550575E-5</c:v>
                </c:pt>
                <c:pt idx="497">
                  <c:v>1.1636256594207124E-4</c:v>
                </c:pt>
                <c:pt idx="498">
                  <c:v>4.9465752603078675E-5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E-4F96-96DF-9401B3BD6251}"/>
            </c:ext>
          </c:extLst>
        </c:ser>
        <c:ser>
          <c:idx val="1"/>
          <c:order val="3"/>
          <c:tx>
            <c:strRef>
              <c:f>Tool!$I$3</c:f>
              <c:strCache>
                <c:ptCount val="1"/>
                <c:pt idx="0">
                  <c:v>R descent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Tool!$B$5:$B$503</c:f>
              <c:numCache>
                <c:formatCode>0.00E+00</c:formatCode>
                <c:ptCount val="499"/>
                <c:pt idx="0">
                  <c:v>6.0120240000000004E-3</c:v>
                </c:pt>
                <c:pt idx="1">
                  <c:v>1.202405E-2</c:v>
                </c:pt>
                <c:pt idx="2">
                  <c:v>1.8036070000000001E-2</c:v>
                </c:pt>
                <c:pt idx="3">
                  <c:v>2.4048099999999999E-2</c:v>
                </c:pt>
                <c:pt idx="4">
                  <c:v>3.0060119999999999E-2</c:v>
                </c:pt>
                <c:pt idx="5">
                  <c:v>3.6072140000000003E-2</c:v>
                </c:pt>
                <c:pt idx="6">
                  <c:v>4.2084169999999997E-2</c:v>
                </c:pt>
                <c:pt idx="7">
                  <c:v>4.8096189999999997E-2</c:v>
                </c:pt>
                <c:pt idx="8">
                  <c:v>5.4108209999999997E-2</c:v>
                </c:pt>
                <c:pt idx="9">
                  <c:v>6.0120239999999998E-2</c:v>
                </c:pt>
                <c:pt idx="10">
                  <c:v>6.6132259999999998E-2</c:v>
                </c:pt>
                <c:pt idx="11">
                  <c:v>7.2144280000000005E-2</c:v>
                </c:pt>
                <c:pt idx="12">
                  <c:v>7.8156310000000007E-2</c:v>
                </c:pt>
                <c:pt idx="13">
                  <c:v>8.4168339999999994E-2</c:v>
                </c:pt>
                <c:pt idx="14">
                  <c:v>9.0180360000000001E-2</c:v>
                </c:pt>
                <c:pt idx="15">
                  <c:v>9.6192379999999994E-2</c:v>
                </c:pt>
                <c:pt idx="16" formatCode="General">
                  <c:v>0.102204</c:v>
                </c:pt>
                <c:pt idx="17" formatCode="General">
                  <c:v>0.10821600000000001</c:v>
                </c:pt>
                <c:pt idx="18" formatCode="General">
                  <c:v>0.114228</c:v>
                </c:pt>
                <c:pt idx="19" formatCode="General">
                  <c:v>0.12024</c:v>
                </c:pt>
                <c:pt idx="20" formatCode="General">
                  <c:v>0.126253</c:v>
                </c:pt>
                <c:pt idx="21" formatCode="General">
                  <c:v>0.13226499999999999</c:v>
                </c:pt>
                <c:pt idx="22" formatCode="General">
                  <c:v>0.13827700000000001</c:v>
                </c:pt>
                <c:pt idx="23" formatCode="General">
                  <c:v>0.144289</c:v>
                </c:pt>
                <c:pt idx="24" formatCode="General">
                  <c:v>0.15030099999999999</c:v>
                </c:pt>
                <c:pt idx="25" formatCode="General">
                  <c:v>0.15631300000000001</c:v>
                </c:pt>
                <c:pt idx="26" formatCode="General">
                  <c:v>0.162325</c:v>
                </c:pt>
                <c:pt idx="27" formatCode="General">
                  <c:v>0.16833699999999999</c:v>
                </c:pt>
                <c:pt idx="28" formatCode="General">
                  <c:v>0.174349</c:v>
                </c:pt>
                <c:pt idx="29" formatCode="General">
                  <c:v>0.18036099999999999</c:v>
                </c:pt>
                <c:pt idx="30" formatCode="General">
                  <c:v>0.18637300000000001</c:v>
                </c:pt>
                <c:pt idx="31" formatCode="General">
                  <c:v>0.192385</c:v>
                </c:pt>
                <c:pt idx="32" formatCode="General">
                  <c:v>0.19839699999999999</c:v>
                </c:pt>
                <c:pt idx="33" formatCode="General">
                  <c:v>0.20440900000000001</c:v>
                </c:pt>
                <c:pt idx="34" formatCode="General">
                  <c:v>0.210421</c:v>
                </c:pt>
                <c:pt idx="35" formatCode="General">
                  <c:v>0.21643299999999999</c:v>
                </c:pt>
                <c:pt idx="36" formatCode="General">
                  <c:v>0.222445</c:v>
                </c:pt>
                <c:pt idx="37" formatCode="General">
                  <c:v>0.22845699999999999</c:v>
                </c:pt>
                <c:pt idx="38" formatCode="General">
                  <c:v>0.23446900000000001</c:v>
                </c:pt>
                <c:pt idx="39" formatCode="General">
                  <c:v>0.240481</c:v>
                </c:pt>
                <c:pt idx="40" formatCode="General">
                  <c:v>0.24649299999999999</c:v>
                </c:pt>
                <c:pt idx="41" formatCode="General">
                  <c:v>0.25250499999999998</c:v>
                </c:pt>
                <c:pt idx="42" formatCode="General">
                  <c:v>0.258517</c:v>
                </c:pt>
                <c:pt idx="43" formatCode="General">
                  <c:v>0.26452900000000001</c:v>
                </c:pt>
                <c:pt idx="44" formatCode="General">
                  <c:v>0.27054099999999998</c:v>
                </c:pt>
                <c:pt idx="45" formatCode="General">
                  <c:v>0.27655299999999999</c:v>
                </c:pt>
                <c:pt idx="46" formatCode="General">
                  <c:v>0.28256500000000001</c:v>
                </c:pt>
                <c:pt idx="47" formatCode="General">
                  <c:v>0.28857699999999997</c:v>
                </c:pt>
                <c:pt idx="48" formatCode="General">
                  <c:v>0.29458899999999999</c:v>
                </c:pt>
                <c:pt idx="49" formatCode="General">
                  <c:v>0.30060100000000001</c:v>
                </c:pt>
                <c:pt idx="50" formatCode="General">
                  <c:v>0.30661300000000002</c:v>
                </c:pt>
                <c:pt idx="51" formatCode="General">
                  <c:v>0.31262499999999999</c:v>
                </c:pt>
                <c:pt idx="52" formatCode="General">
                  <c:v>0.318637</c:v>
                </c:pt>
                <c:pt idx="53" formatCode="General">
                  <c:v>0.32464900000000002</c:v>
                </c:pt>
                <c:pt idx="54" formatCode="General">
                  <c:v>0.33066099999999998</c:v>
                </c:pt>
                <c:pt idx="55" formatCode="General">
                  <c:v>0.336673</c:v>
                </c:pt>
                <c:pt idx="56" formatCode="General">
                  <c:v>0.34268500000000002</c:v>
                </c:pt>
                <c:pt idx="57" formatCode="General">
                  <c:v>0.34869699999999998</c:v>
                </c:pt>
                <c:pt idx="58" formatCode="General">
                  <c:v>0.354709</c:v>
                </c:pt>
                <c:pt idx="59" formatCode="General">
                  <c:v>0.36072100000000001</c:v>
                </c:pt>
                <c:pt idx="60" formatCode="General">
                  <c:v>0.36673299999999998</c:v>
                </c:pt>
                <c:pt idx="61" formatCode="General">
                  <c:v>0.37274499999999999</c:v>
                </c:pt>
                <c:pt idx="62" formatCode="General">
                  <c:v>0.37875799999999998</c:v>
                </c:pt>
                <c:pt idx="63" formatCode="General">
                  <c:v>0.38477</c:v>
                </c:pt>
                <c:pt idx="64" formatCode="General">
                  <c:v>0.39078200000000002</c:v>
                </c:pt>
                <c:pt idx="65" formatCode="General">
                  <c:v>0.39679399999999998</c:v>
                </c:pt>
                <c:pt idx="66" formatCode="General">
                  <c:v>0.402806</c:v>
                </c:pt>
                <c:pt idx="67" formatCode="General">
                  <c:v>0.40881800000000001</c:v>
                </c:pt>
                <c:pt idx="68" formatCode="General">
                  <c:v>0.41482999999999998</c:v>
                </c:pt>
                <c:pt idx="69" formatCode="General">
                  <c:v>0.42084199999999999</c:v>
                </c:pt>
                <c:pt idx="70" formatCode="General">
                  <c:v>0.42685400000000001</c:v>
                </c:pt>
                <c:pt idx="71" formatCode="General">
                  <c:v>0.43286599999999997</c:v>
                </c:pt>
                <c:pt idx="72" formatCode="General">
                  <c:v>0.43887799999999999</c:v>
                </c:pt>
                <c:pt idx="73" formatCode="General">
                  <c:v>0.44489000000000001</c:v>
                </c:pt>
                <c:pt idx="74" formatCode="General">
                  <c:v>0.45090200000000003</c:v>
                </c:pt>
                <c:pt idx="75" formatCode="General">
                  <c:v>0.45691399999999999</c:v>
                </c:pt>
                <c:pt idx="76" formatCode="General">
                  <c:v>0.462926</c:v>
                </c:pt>
                <c:pt idx="77" formatCode="General">
                  <c:v>0.46893800000000002</c:v>
                </c:pt>
                <c:pt idx="78" formatCode="General">
                  <c:v>0.47494999999999998</c:v>
                </c:pt>
                <c:pt idx="79" formatCode="General">
                  <c:v>0.480962</c:v>
                </c:pt>
                <c:pt idx="80" formatCode="General">
                  <c:v>0.48697400000000002</c:v>
                </c:pt>
                <c:pt idx="81" formatCode="General">
                  <c:v>0.49298599999999998</c:v>
                </c:pt>
                <c:pt idx="82" formatCode="General">
                  <c:v>0.498998</c:v>
                </c:pt>
                <c:pt idx="83" formatCode="General">
                  <c:v>0.50500999999999996</c:v>
                </c:pt>
                <c:pt idx="84" formatCode="General">
                  <c:v>0.51102199999999998</c:v>
                </c:pt>
                <c:pt idx="85" formatCode="General">
                  <c:v>0.51703399999999999</c:v>
                </c:pt>
                <c:pt idx="86" formatCode="General">
                  <c:v>0.52304600000000001</c:v>
                </c:pt>
                <c:pt idx="87" formatCode="General">
                  <c:v>0.52905800000000003</c:v>
                </c:pt>
                <c:pt idx="88" formatCode="General">
                  <c:v>0.53507000000000005</c:v>
                </c:pt>
                <c:pt idx="89" formatCode="General">
                  <c:v>0.54108199999999995</c:v>
                </c:pt>
                <c:pt idx="90" formatCode="General">
                  <c:v>0.54709399999999997</c:v>
                </c:pt>
                <c:pt idx="91" formatCode="General">
                  <c:v>0.55310599999999999</c:v>
                </c:pt>
                <c:pt idx="92" formatCode="General">
                  <c:v>0.559118</c:v>
                </c:pt>
                <c:pt idx="93" formatCode="General">
                  <c:v>0.56513000000000002</c:v>
                </c:pt>
                <c:pt idx="94" formatCode="General">
                  <c:v>0.57114200000000004</c:v>
                </c:pt>
                <c:pt idx="95" formatCode="General">
                  <c:v>0.57715399999999994</c:v>
                </c:pt>
                <c:pt idx="96" formatCode="General">
                  <c:v>0.58316599999999996</c:v>
                </c:pt>
                <c:pt idx="97" formatCode="General">
                  <c:v>0.58917799999999998</c:v>
                </c:pt>
                <c:pt idx="98" formatCode="General">
                  <c:v>0.59519</c:v>
                </c:pt>
                <c:pt idx="99" formatCode="General">
                  <c:v>0.60120200000000001</c:v>
                </c:pt>
                <c:pt idx="100" formatCode="General">
                  <c:v>0.60721400000000003</c:v>
                </c:pt>
                <c:pt idx="101" formatCode="General">
                  <c:v>0.61322600000000005</c:v>
                </c:pt>
                <c:pt idx="102" formatCode="General">
                  <c:v>0.61923799999999996</c:v>
                </c:pt>
                <c:pt idx="103" formatCode="General">
                  <c:v>0.62524999999999997</c:v>
                </c:pt>
                <c:pt idx="104" formatCode="General">
                  <c:v>0.63126199999999999</c:v>
                </c:pt>
                <c:pt idx="105" formatCode="General">
                  <c:v>0.63727500000000004</c:v>
                </c:pt>
                <c:pt idx="106" formatCode="General">
                  <c:v>0.64328700000000005</c:v>
                </c:pt>
                <c:pt idx="107" formatCode="General">
                  <c:v>0.64929899999999996</c:v>
                </c:pt>
                <c:pt idx="108" formatCode="General">
                  <c:v>0.65531099999999998</c:v>
                </c:pt>
                <c:pt idx="109" formatCode="General">
                  <c:v>0.66132299999999999</c:v>
                </c:pt>
                <c:pt idx="110" formatCode="General">
                  <c:v>0.66733500000000001</c:v>
                </c:pt>
                <c:pt idx="111" formatCode="General">
                  <c:v>0.67334700000000003</c:v>
                </c:pt>
                <c:pt idx="112" formatCode="General">
                  <c:v>0.67935900000000005</c:v>
                </c:pt>
                <c:pt idx="113" formatCode="General">
                  <c:v>0.68537099999999995</c:v>
                </c:pt>
                <c:pt idx="114" formatCode="General">
                  <c:v>0.69138299999999997</c:v>
                </c:pt>
                <c:pt idx="115" formatCode="General">
                  <c:v>0.69739499999999999</c:v>
                </c:pt>
                <c:pt idx="116" formatCode="General">
                  <c:v>0.703407</c:v>
                </c:pt>
                <c:pt idx="117" formatCode="General">
                  <c:v>0.70941900000000002</c:v>
                </c:pt>
                <c:pt idx="118" formatCode="General">
                  <c:v>0.71543100000000004</c:v>
                </c:pt>
                <c:pt idx="119" formatCode="General">
                  <c:v>0.72144299999999995</c:v>
                </c:pt>
                <c:pt idx="120" formatCode="General">
                  <c:v>0.72745499999999996</c:v>
                </c:pt>
                <c:pt idx="121" formatCode="General">
                  <c:v>0.73346699999999998</c:v>
                </c:pt>
                <c:pt idx="122" formatCode="General">
                  <c:v>0.739479</c:v>
                </c:pt>
                <c:pt idx="123" formatCode="General">
                  <c:v>0.74549100000000001</c:v>
                </c:pt>
                <c:pt idx="124" formatCode="General">
                  <c:v>0.75150300000000003</c:v>
                </c:pt>
                <c:pt idx="125" formatCode="General">
                  <c:v>0.75751500000000005</c:v>
                </c:pt>
                <c:pt idx="126" formatCode="General">
                  <c:v>0.76352699999999996</c:v>
                </c:pt>
                <c:pt idx="127" formatCode="General">
                  <c:v>0.76953899999999997</c:v>
                </c:pt>
                <c:pt idx="128" formatCode="General">
                  <c:v>0.77555099999999999</c:v>
                </c:pt>
                <c:pt idx="129" formatCode="General">
                  <c:v>0.78156300000000001</c:v>
                </c:pt>
                <c:pt idx="130" formatCode="General">
                  <c:v>0.78757500000000003</c:v>
                </c:pt>
                <c:pt idx="131" formatCode="General">
                  <c:v>0.79358700000000004</c:v>
                </c:pt>
                <c:pt idx="132" formatCode="General">
                  <c:v>0.79959899999999995</c:v>
                </c:pt>
                <c:pt idx="133" formatCode="General">
                  <c:v>0.80561099999999997</c:v>
                </c:pt>
                <c:pt idx="134" formatCode="General">
                  <c:v>0.81162299999999998</c:v>
                </c:pt>
                <c:pt idx="135" formatCode="General">
                  <c:v>0.817635</c:v>
                </c:pt>
                <c:pt idx="136" formatCode="General">
                  <c:v>0.82364700000000002</c:v>
                </c:pt>
                <c:pt idx="137" formatCode="General">
                  <c:v>0.82965900000000004</c:v>
                </c:pt>
                <c:pt idx="138" formatCode="General">
                  <c:v>0.83567100000000005</c:v>
                </c:pt>
                <c:pt idx="139" formatCode="General">
                  <c:v>0.84168299999999996</c:v>
                </c:pt>
                <c:pt idx="140" formatCode="General">
                  <c:v>0.84769499999999998</c:v>
                </c:pt>
                <c:pt idx="141" formatCode="General">
                  <c:v>0.85370699999999999</c:v>
                </c:pt>
                <c:pt idx="142" formatCode="General">
                  <c:v>0.85971900000000001</c:v>
                </c:pt>
                <c:pt idx="143" formatCode="General">
                  <c:v>0.86573100000000003</c:v>
                </c:pt>
                <c:pt idx="144" formatCode="General">
                  <c:v>0.87174300000000005</c:v>
                </c:pt>
                <c:pt idx="145" formatCode="General">
                  <c:v>0.87775499999999995</c:v>
                </c:pt>
                <c:pt idx="146" formatCode="General">
                  <c:v>0.88376699999999997</c:v>
                </c:pt>
                <c:pt idx="147" formatCode="General">
                  <c:v>0.88978000000000002</c:v>
                </c:pt>
                <c:pt idx="148" formatCode="General">
                  <c:v>0.89579200000000003</c:v>
                </c:pt>
                <c:pt idx="149" formatCode="General">
                  <c:v>0.90180400000000005</c:v>
                </c:pt>
                <c:pt idx="150" formatCode="General">
                  <c:v>0.90781599999999996</c:v>
                </c:pt>
                <c:pt idx="151" formatCode="General">
                  <c:v>0.91382799999999997</c:v>
                </c:pt>
                <c:pt idx="152" formatCode="General">
                  <c:v>0.91983999999999999</c:v>
                </c:pt>
                <c:pt idx="153" formatCode="General">
                  <c:v>0.92585200000000001</c:v>
                </c:pt>
                <c:pt idx="154" formatCode="General">
                  <c:v>0.93186400000000003</c:v>
                </c:pt>
                <c:pt idx="155" formatCode="General">
                  <c:v>0.93787600000000004</c:v>
                </c:pt>
                <c:pt idx="156" formatCode="General">
                  <c:v>0.94388799999999995</c:v>
                </c:pt>
                <c:pt idx="157" formatCode="General">
                  <c:v>0.94989999999999997</c:v>
                </c:pt>
                <c:pt idx="158" formatCode="General">
                  <c:v>0.95591199999999998</c:v>
                </c:pt>
                <c:pt idx="159" formatCode="General">
                  <c:v>0.961924</c:v>
                </c:pt>
                <c:pt idx="160" formatCode="General">
                  <c:v>0.96793600000000002</c:v>
                </c:pt>
                <c:pt idx="161" formatCode="General">
                  <c:v>0.97394800000000004</c:v>
                </c:pt>
                <c:pt idx="162" formatCode="General">
                  <c:v>0.97996000000000005</c:v>
                </c:pt>
                <c:pt idx="163" formatCode="General">
                  <c:v>0.98597199999999996</c:v>
                </c:pt>
                <c:pt idx="164" formatCode="General">
                  <c:v>0.99198399999999998</c:v>
                </c:pt>
                <c:pt idx="165" formatCode="General">
                  <c:v>0.99799599999999999</c:v>
                </c:pt>
                <c:pt idx="166" formatCode="General">
                  <c:v>1.0040100000000001</c:v>
                </c:pt>
                <c:pt idx="167" formatCode="General">
                  <c:v>1.0100199999999999</c:v>
                </c:pt>
                <c:pt idx="168" formatCode="General">
                  <c:v>1.01603</c:v>
                </c:pt>
                <c:pt idx="169" formatCode="General">
                  <c:v>1.0220400000000001</c:v>
                </c:pt>
                <c:pt idx="170" formatCode="General">
                  <c:v>1.02806</c:v>
                </c:pt>
                <c:pt idx="171" formatCode="General">
                  <c:v>1.03407</c:v>
                </c:pt>
                <c:pt idx="172" formatCode="General">
                  <c:v>1.0400799999999999</c:v>
                </c:pt>
                <c:pt idx="173" formatCode="General">
                  <c:v>1.04609</c:v>
                </c:pt>
                <c:pt idx="174" formatCode="General">
                  <c:v>1.0521</c:v>
                </c:pt>
                <c:pt idx="175" formatCode="General">
                  <c:v>1.0581199999999999</c:v>
                </c:pt>
                <c:pt idx="176" formatCode="General">
                  <c:v>1.06413</c:v>
                </c:pt>
                <c:pt idx="177" formatCode="General">
                  <c:v>1.0701400000000001</c:v>
                </c:pt>
                <c:pt idx="178" formatCode="General">
                  <c:v>1.0761499999999999</c:v>
                </c:pt>
                <c:pt idx="179" formatCode="General">
                  <c:v>1.08216</c:v>
                </c:pt>
                <c:pt idx="180" formatCode="General">
                  <c:v>1.0881799999999999</c:v>
                </c:pt>
                <c:pt idx="181" formatCode="General">
                  <c:v>1.09419</c:v>
                </c:pt>
                <c:pt idx="182" formatCode="General">
                  <c:v>1.1002000000000001</c:v>
                </c:pt>
                <c:pt idx="183" formatCode="General">
                  <c:v>1.1062099999999999</c:v>
                </c:pt>
                <c:pt idx="184" formatCode="General">
                  <c:v>1.11222</c:v>
                </c:pt>
                <c:pt idx="185" formatCode="General">
                  <c:v>1.1182399999999999</c:v>
                </c:pt>
                <c:pt idx="186" formatCode="General">
                  <c:v>1.12425</c:v>
                </c:pt>
                <c:pt idx="187" formatCode="General">
                  <c:v>1.13026</c:v>
                </c:pt>
                <c:pt idx="188" formatCode="General">
                  <c:v>1.1362699999999999</c:v>
                </c:pt>
                <c:pt idx="189" formatCode="General">
                  <c:v>1.14228</c:v>
                </c:pt>
                <c:pt idx="190" formatCode="General">
                  <c:v>1.1483000000000001</c:v>
                </c:pt>
                <c:pt idx="191" formatCode="General">
                  <c:v>1.1543099999999999</c:v>
                </c:pt>
                <c:pt idx="192" formatCode="General">
                  <c:v>1.16032</c:v>
                </c:pt>
                <c:pt idx="193" formatCode="General">
                  <c:v>1.1663300000000001</c:v>
                </c:pt>
                <c:pt idx="194" formatCode="General">
                  <c:v>1.1723399999999999</c:v>
                </c:pt>
                <c:pt idx="195" formatCode="General">
                  <c:v>1.1783600000000001</c:v>
                </c:pt>
                <c:pt idx="196" formatCode="General">
                  <c:v>1.1843699999999999</c:v>
                </c:pt>
                <c:pt idx="197" formatCode="General">
                  <c:v>1.19038</c:v>
                </c:pt>
                <c:pt idx="198" formatCode="General">
                  <c:v>1.1963900000000001</c:v>
                </c:pt>
                <c:pt idx="199" formatCode="General">
                  <c:v>1.2023999999999999</c:v>
                </c:pt>
                <c:pt idx="200" formatCode="General">
                  <c:v>1.20842</c:v>
                </c:pt>
                <c:pt idx="201" formatCode="General">
                  <c:v>1.2144299999999999</c:v>
                </c:pt>
                <c:pt idx="202" formatCode="General">
                  <c:v>1.22044</c:v>
                </c:pt>
                <c:pt idx="203" formatCode="General">
                  <c:v>1.22645</c:v>
                </c:pt>
                <c:pt idx="204" formatCode="General">
                  <c:v>1.2324600000000001</c:v>
                </c:pt>
                <c:pt idx="205" formatCode="General">
                  <c:v>1.23848</c:v>
                </c:pt>
                <c:pt idx="206" formatCode="General">
                  <c:v>1.2444900000000001</c:v>
                </c:pt>
                <c:pt idx="207" formatCode="General">
                  <c:v>1.2504999999999999</c:v>
                </c:pt>
                <c:pt idx="208" formatCode="General">
                  <c:v>1.25651</c:v>
                </c:pt>
                <c:pt idx="209" formatCode="General">
                  <c:v>1.2625200000000001</c:v>
                </c:pt>
                <c:pt idx="210" formatCode="General">
                  <c:v>1.26854</c:v>
                </c:pt>
                <c:pt idx="211" formatCode="General">
                  <c:v>1.2745500000000001</c:v>
                </c:pt>
                <c:pt idx="212" formatCode="General">
                  <c:v>1.2805599999999999</c:v>
                </c:pt>
                <c:pt idx="213" formatCode="General">
                  <c:v>1.28657</c:v>
                </c:pt>
                <c:pt idx="214" formatCode="General">
                  <c:v>1.2925899999999999</c:v>
                </c:pt>
                <c:pt idx="215" formatCode="General">
                  <c:v>1.2986</c:v>
                </c:pt>
                <c:pt idx="216" formatCode="General">
                  <c:v>1.30461</c:v>
                </c:pt>
                <c:pt idx="217" formatCode="General">
                  <c:v>1.3106199999999999</c:v>
                </c:pt>
                <c:pt idx="218" formatCode="General">
                  <c:v>1.31663</c:v>
                </c:pt>
                <c:pt idx="219" formatCode="General">
                  <c:v>1.3226500000000001</c:v>
                </c:pt>
                <c:pt idx="220" formatCode="General">
                  <c:v>1.32866</c:v>
                </c:pt>
                <c:pt idx="221" formatCode="General">
                  <c:v>1.33467</c:v>
                </c:pt>
                <c:pt idx="222" formatCode="General">
                  <c:v>1.3406800000000001</c:v>
                </c:pt>
                <c:pt idx="223" formatCode="General">
                  <c:v>1.3466899999999999</c:v>
                </c:pt>
                <c:pt idx="224" formatCode="General">
                  <c:v>1.3527100000000001</c:v>
                </c:pt>
                <c:pt idx="225" formatCode="General">
                  <c:v>1.3587199999999999</c:v>
                </c:pt>
                <c:pt idx="226" formatCode="General">
                  <c:v>1.36473</c:v>
                </c:pt>
                <c:pt idx="227" formatCode="General">
                  <c:v>1.3707400000000001</c:v>
                </c:pt>
                <c:pt idx="228" formatCode="General">
                  <c:v>1.3767499999999999</c:v>
                </c:pt>
                <c:pt idx="229" formatCode="General">
                  <c:v>1.3827700000000001</c:v>
                </c:pt>
                <c:pt idx="230" formatCode="General">
                  <c:v>1.3887799999999999</c:v>
                </c:pt>
                <c:pt idx="231" formatCode="General">
                  <c:v>1.39479</c:v>
                </c:pt>
                <c:pt idx="232" formatCode="General">
                  <c:v>1.4008</c:v>
                </c:pt>
                <c:pt idx="233" formatCode="General">
                  <c:v>1.4068099999999999</c:v>
                </c:pt>
                <c:pt idx="234" formatCode="General">
                  <c:v>1.41283</c:v>
                </c:pt>
                <c:pt idx="235" formatCode="General">
                  <c:v>1.4188400000000001</c:v>
                </c:pt>
                <c:pt idx="236" formatCode="General">
                  <c:v>1.4248499999999999</c:v>
                </c:pt>
                <c:pt idx="237" formatCode="General">
                  <c:v>1.43086</c:v>
                </c:pt>
                <c:pt idx="238" formatCode="General">
                  <c:v>1.4368700000000001</c:v>
                </c:pt>
                <c:pt idx="239" formatCode="General">
                  <c:v>1.44289</c:v>
                </c:pt>
                <c:pt idx="240" formatCode="General">
                  <c:v>1.4489000000000001</c:v>
                </c:pt>
                <c:pt idx="241" formatCode="General">
                  <c:v>1.4549099999999999</c:v>
                </c:pt>
                <c:pt idx="242" formatCode="General">
                  <c:v>1.46092</c:v>
                </c:pt>
                <c:pt idx="243" formatCode="General">
                  <c:v>1.4669300000000001</c:v>
                </c:pt>
                <c:pt idx="244" formatCode="General">
                  <c:v>1.47295</c:v>
                </c:pt>
                <c:pt idx="245" formatCode="General">
                  <c:v>1.4789600000000001</c:v>
                </c:pt>
                <c:pt idx="246" formatCode="General">
                  <c:v>1.4849699999999999</c:v>
                </c:pt>
                <c:pt idx="247" formatCode="General">
                  <c:v>1.49098</c:v>
                </c:pt>
                <c:pt idx="248" formatCode="General">
                  <c:v>1.49699</c:v>
                </c:pt>
                <c:pt idx="249" formatCode="General">
                  <c:v>1.50301</c:v>
                </c:pt>
                <c:pt idx="250" formatCode="General">
                  <c:v>1.50902</c:v>
                </c:pt>
                <c:pt idx="251" formatCode="General">
                  <c:v>1.5150300000000001</c:v>
                </c:pt>
                <c:pt idx="252" formatCode="General">
                  <c:v>1.5210399999999999</c:v>
                </c:pt>
                <c:pt idx="253" formatCode="General">
                  <c:v>1.52705</c:v>
                </c:pt>
                <c:pt idx="254" formatCode="General">
                  <c:v>1.5330699999999999</c:v>
                </c:pt>
                <c:pt idx="255" formatCode="General">
                  <c:v>1.53908</c:v>
                </c:pt>
                <c:pt idx="256" formatCode="General">
                  <c:v>1.5450900000000001</c:v>
                </c:pt>
                <c:pt idx="257" formatCode="General">
                  <c:v>1.5510999999999999</c:v>
                </c:pt>
                <c:pt idx="258" formatCode="General">
                  <c:v>1.55711</c:v>
                </c:pt>
                <c:pt idx="259" formatCode="General">
                  <c:v>1.5631299999999999</c:v>
                </c:pt>
                <c:pt idx="260" formatCode="General">
                  <c:v>1.56914</c:v>
                </c:pt>
                <c:pt idx="261" formatCode="General">
                  <c:v>1.5751500000000001</c:v>
                </c:pt>
                <c:pt idx="262" formatCode="General">
                  <c:v>1.5811599999999999</c:v>
                </c:pt>
                <c:pt idx="263" formatCode="General">
                  <c:v>1.58717</c:v>
                </c:pt>
                <c:pt idx="264" formatCode="General">
                  <c:v>1.5931900000000001</c:v>
                </c:pt>
                <c:pt idx="265" formatCode="General">
                  <c:v>1.5992</c:v>
                </c:pt>
                <c:pt idx="266" formatCode="General">
                  <c:v>1.60521</c:v>
                </c:pt>
                <c:pt idx="267" formatCode="General">
                  <c:v>1.6112200000000001</c:v>
                </c:pt>
                <c:pt idx="268" formatCode="General">
                  <c:v>1.6172299999999999</c:v>
                </c:pt>
                <c:pt idx="269" formatCode="General">
                  <c:v>1.6232500000000001</c:v>
                </c:pt>
                <c:pt idx="270" formatCode="General">
                  <c:v>1.6292599999999999</c:v>
                </c:pt>
                <c:pt idx="271" formatCode="General">
                  <c:v>1.63527</c:v>
                </c:pt>
                <c:pt idx="272" formatCode="General">
                  <c:v>1.6412800000000001</c:v>
                </c:pt>
                <c:pt idx="273" formatCode="General">
                  <c:v>1.6472899999999999</c:v>
                </c:pt>
                <c:pt idx="274" formatCode="General">
                  <c:v>1.6533100000000001</c:v>
                </c:pt>
                <c:pt idx="275" formatCode="General">
                  <c:v>1.6593199999999999</c:v>
                </c:pt>
                <c:pt idx="276" formatCode="General">
                  <c:v>1.66533</c:v>
                </c:pt>
                <c:pt idx="277" formatCode="General">
                  <c:v>1.67134</c:v>
                </c:pt>
                <c:pt idx="278" formatCode="General">
                  <c:v>1.6773499999999999</c:v>
                </c:pt>
                <c:pt idx="279" formatCode="General">
                  <c:v>1.68337</c:v>
                </c:pt>
                <c:pt idx="280" formatCode="General">
                  <c:v>1.6893800000000001</c:v>
                </c:pt>
                <c:pt idx="281" formatCode="General">
                  <c:v>1.69539</c:v>
                </c:pt>
                <c:pt idx="282" formatCode="General">
                  <c:v>1.7014</c:v>
                </c:pt>
                <c:pt idx="283" formatCode="General">
                  <c:v>1.7074100000000001</c:v>
                </c:pt>
                <c:pt idx="284" formatCode="General">
                  <c:v>1.71343</c:v>
                </c:pt>
                <c:pt idx="285" formatCode="General">
                  <c:v>1.7194400000000001</c:v>
                </c:pt>
                <c:pt idx="286" formatCode="General">
                  <c:v>1.7254499999999999</c:v>
                </c:pt>
                <c:pt idx="287" formatCode="General">
                  <c:v>1.73146</c:v>
                </c:pt>
                <c:pt idx="288" formatCode="General">
                  <c:v>1.7374700000000001</c:v>
                </c:pt>
                <c:pt idx="289" formatCode="General">
                  <c:v>1.74349</c:v>
                </c:pt>
                <c:pt idx="290" formatCode="General">
                  <c:v>1.7495000000000001</c:v>
                </c:pt>
                <c:pt idx="291" formatCode="General">
                  <c:v>1.7555099999999999</c:v>
                </c:pt>
                <c:pt idx="292" formatCode="General">
                  <c:v>1.76152</c:v>
                </c:pt>
                <c:pt idx="293" formatCode="General">
                  <c:v>1.76753</c:v>
                </c:pt>
                <c:pt idx="294" formatCode="General">
                  <c:v>1.77355</c:v>
                </c:pt>
                <c:pt idx="295" formatCode="General">
                  <c:v>1.77956</c:v>
                </c:pt>
                <c:pt idx="296" formatCode="General">
                  <c:v>1.7855700000000001</c:v>
                </c:pt>
                <c:pt idx="297" formatCode="General">
                  <c:v>1.79158</c:v>
                </c:pt>
                <c:pt idx="298" formatCode="General">
                  <c:v>1.7976000000000001</c:v>
                </c:pt>
                <c:pt idx="299" formatCode="General">
                  <c:v>1.8036099999999999</c:v>
                </c:pt>
                <c:pt idx="300" formatCode="General">
                  <c:v>1.80962</c:v>
                </c:pt>
                <c:pt idx="301" formatCode="General">
                  <c:v>1.8156300000000001</c:v>
                </c:pt>
                <c:pt idx="302" formatCode="General">
                  <c:v>1.8216399999999999</c:v>
                </c:pt>
                <c:pt idx="303" formatCode="General">
                  <c:v>1.8276600000000001</c:v>
                </c:pt>
                <c:pt idx="304" formatCode="General">
                  <c:v>1.8336699999999999</c:v>
                </c:pt>
                <c:pt idx="305" formatCode="General">
                  <c:v>1.83968</c:v>
                </c:pt>
                <c:pt idx="306" formatCode="General">
                  <c:v>1.8456900000000001</c:v>
                </c:pt>
                <c:pt idx="307" formatCode="General">
                  <c:v>1.8516999999999999</c:v>
                </c:pt>
                <c:pt idx="308" formatCode="General">
                  <c:v>1.85772</c:v>
                </c:pt>
                <c:pt idx="309" formatCode="General">
                  <c:v>1.8637300000000001</c:v>
                </c:pt>
                <c:pt idx="310" formatCode="General">
                  <c:v>1.86974</c:v>
                </c:pt>
                <c:pt idx="311" formatCode="General">
                  <c:v>1.87575</c:v>
                </c:pt>
                <c:pt idx="312" formatCode="General">
                  <c:v>1.8817600000000001</c:v>
                </c:pt>
                <c:pt idx="313" formatCode="General">
                  <c:v>1.88778</c:v>
                </c:pt>
                <c:pt idx="314" formatCode="General">
                  <c:v>1.8937900000000001</c:v>
                </c:pt>
                <c:pt idx="315" formatCode="General">
                  <c:v>1.8997999999999999</c:v>
                </c:pt>
                <c:pt idx="316" formatCode="General">
                  <c:v>1.90581</c:v>
                </c:pt>
                <c:pt idx="317" formatCode="General">
                  <c:v>1.9118200000000001</c:v>
                </c:pt>
                <c:pt idx="318" formatCode="General">
                  <c:v>1.91784</c:v>
                </c:pt>
                <c:pt idx="319" formatCode="General">
                  <c:v>1.9238500000000001</c:v>
                </c:pt>
                <c:pt idx="320" formatCode="General">
                  <c:v>1.9298599999999999</c:v>
                </c:pt>
                <c:pt idx="321" formatCode="General">
                  <c:v>1.93587</c:v>
                </c:pt>
                <c:pt idx="322" formatCode="General">
                  <c:v>1.9418800000000001</c:v>
                </c:pt>
                <c:pt idx="323" formatCode="General">
                  <c:v>1.9479</c:v>
                </c:pt>
                <c:pt idx="324" formatCode="General">
                  <c:v>1.95391</c:v>
                </c:pt>
                <c:pt idx="325" formatCode="General">
                  <c:v>1.9599200000000001</c:v>
                </c:pt>
                <c:pt idx="326" formatCode="General">
                  <c:v>1.96593</c:v>
                </c:pt>
                <c:pt idx="327" formatCode="General">
                  <c:v>1.97194</c:v>
                </c:pt>
                <c:pt idx="328" formatCode="General">
                  <c:v>1.9779599999999999</c:v>
                </c:pt>
                <c:pt idx="329" formatCode="General">
                  <c:v>1.98397</c:v>
                </c:pt>
                <c:pt idx="330" formatCode="General">
                  <c:v>1.9899800000000001</c:v>
                </c:pt>
                <c:pt idx="331" formatCode="General">
                  <c:v>1.9959899999999999</c:v>
                </c:pt>
                <c:pt idx="332" formatCode="General">
                  <c:v>2.0019999999999998</c:v>
                </c:pt>
                <c:pt idx="333" formatCode="General">
                  <c:v>2.0080200000000001</c:v>
                </c:pt>
                <c:pt idx="334" formatCode="General">
                  <c:v>2.01403</c:v>
                </c:pt>
                <c:pt idx="335" formatCode="General">
                  <c:v>2.0200399999999998</c:v>
                </c:pt>
                <c:pt idx="336" formatCode="General">
                  <c:v>2.0260500000000001</c:v>
                </c:pt>
                <c:pt idx="337" formatCode="General">
                  <c:v>2.03206</c:v>
                </c:pt>
                <c:pt idx="338" formatCode="General">
                  <c:v>2.0380799999999999</c:v>
                </c:pt>
                <c:pt idx="339" formatCode="General">
                  <c:v>2.0440900000000002</c:v>
                </c:pt>
                <c:pt idx="340" formatCode="General">
                  <c:v>2.0501</c:v>
                </c:pt>
                <c:pt idx="341" formatCode="General">
                  <c:v>2.0561099999999999</c:v>
                </c:pt>
                <c:pt idx="342" formatCode="General">
                  <c:v>2.0621200000000002</c:v>
                </c:pt>
                <c:pt idx="343" formatCode="General">
                  <c:v>2.0681400000000001</c:v>
                </c:pt>
                <c:pt idx="344" formatCode="General">
                  <c:v>2.0741499999999999</c:v>
                </c:pt>
                <c:pt idx="345" formatCode="General">
                  <c:v>2.0801599999999998</c:v>
                </c:pt>
                <c:pt idx="346" formatCode="General">
                  <c:v>2.0861700000000001</c:v>
                </c:pt>
                <c:pt idx="347" formatCode="General">
                  <c:v>2.0921799999999999</c:v>
                </c:pt>
                <c:pt idx="348" formatCode="General">
                  <c:v>2.0981999999999998</c:v>
                </c:pt>
                <c:pt idx="349" formatCode="General">
                  <c:v>2.1042100000000001</c:v>
                </c:pt>
                <c:pt idx="350" formatCode="General">
                  <c:v>2.11022</c:v>
                </c:pt>
                <c:pt idx="351" formatCode="General">
                  <c:v>2.1162299999999998</c:v>
                </c:pt>
                <c:pt idx="352" formatCode="General">
                  <c:v>2.1222400000000001</c:v>
                </c:pt>
                <c:pt idx="353" formatCode="General">
                  <c:v>2.12826</c:v>
                </c:pt>
                <c:pt idx="354" formatCode="General">
                  <c:v>2.1342699999999999</c:v>
                </c:pt>
                <c:pt idx="355" formatCode="General">
                  <c:v>2.1402800000000002</c:v>
                </c:pt>
                <c:pt idx="356" formatCode="General">
                  <c:v>2.14629</c:v>
                </c:pt>
                <c:pt idx="357" formatCode="General">
                  <c:v>2.1522999999999999</c:v>
                </c:pt>
                <c:pt idx="358" formatCode="General">
                  <c:v>2.1583199999999998</c:v>
                </c:pt>
                <c:pt idx="359" formatCode="General">
                  <c:v>2.1643300000000001</c:v>
                </c:pt>
                <c:pt idx="360" formatCode="General">
                  <c:v>2.1703399999999999</c:v>
                </c:pt>
                <c:pt idx="361" formatCode="General">
                  <c:v>2.1763499999999998</c:v>
                </c:pt>
                <c:pt idx="362" formatCode="General">
                  <c:v>2.1823600000000001</c:v>
                </c:pt>
                <c:pt idx="363" formatCode="General">
                  <c:v>2.18838</c:v>
                </c:pt>
                <c:pt idx="364" formatCode="General">
                  <c:v>2.1943899999999998</c:v>
                </c:pt>
                <c:pt idx="365" formatCode="General">
                  <c:v>2.2004000000000001</c:v>
                </c:pt>
                <c:pt idx="366" formatCode="General">
                  <c:v>2.20641</c:v>
                </c:pt>
                <c:pt idx="367" formatCode="General">
                  <c:v>2.2124199999999998</c:v>
                </c:pt>
                <c:pt idx="368" formatCode="General">
                  <c:v>2.2184400000000002</c:v>
                </c:pt>
                <c:pt idx="369" formatCode="General">
                  <c:v>2.22445</c:v>
                </c:pt>
                <c:pt idx="370" formatCode="General">
                  <c:v>2.2304599999999999</c:v>
                </c:pt>
                <c:pt idx="371" formatCode="General">
                  <c:v>2.2364700000000002</c:v>
                </c:pt>
                <c:pt idx="372" formatCode="General">
                  <c:v>2.24248</c:v>
                </c:pt>
                <c:pt idx="373" formatCode="General">
                  <c:v>2.2484999999999999</c:v>
                </c:pt>
                <c:pt idx="374" formatCode="General">
                  <c:v>2.2545099999999998</c:v>
                </c:pt>
                <c:pt idx="375" formatCode="General">
                  <c:v>2.2605200000000001</c:v>
                </c:pt>
                <c:pt idx="376" formatCode="General">
                  <c:v>2.2665299999999999</c:v>
                </c:pt>
                <c:pt idx="377" formatCode="General">
                  <c:v>2.2725499999999998</c:v>
                </c:pt>
                <c:pt idx="378" formatCode="General">
                  <c:v>2.2785600000000001</c:v>
                </c:pt>
                <c:pt idx="379" formatCode="General">
                  <c:v>2.28457</c:v>
                </c:pt>
                <c:pt idx="380" formatCode="General">
                  <c:v>2.2905799999999998</c:v>
                </c:pt>
                <c:pt idx="381" formatCode="General">
                  <c:v>2.2965900000000001</c:v>
                </c:pt>
                <c:pt idx="382" formatCode="General">
                  <c:v>2.30261</c:v>
                </c:pt>
                <c:pt idx="383" formatCode="General">
                  <c:v>2.3086199999999999</c:v>
                </c:pt>
                <c:pt idx="384" formatCode="General">
                  <c:v>2.3146300000000002</c:v>
                </c:pt>
                <c:pt idx="385" formatCode="General">
                  <c:v>2.32064</c:v>
                </c:pt>
                <c:pt idx="386" formatCode="General">
                  <c:v>2.3266499999999999</c:v>
                </c:pt>
                <c:pt idx="387" formatCode="General">
                  <c:v>2.3326699999999998</c:v>
                </c:pt>
                <c:pt idx="388" formatCode="General">
                  <c:v>2.3386800000000001</c:v>
                </c:pt>
                <c:pt idx="389" formatCode="General">
                  <c:v>2.3446899999999999</c:v>
                </c:pt>
                <c:pt idx="390" formatCode="General">
                  <c:v>2.3506999999999998</c:v>
                </c:pt>
                <c:pt idx="391" formatCode="General">
                  <c:v>2.3567100000000001</c:v>
                </c:pt>
                <c:pt idx="392" formatCode="General">
                  <c:v>2.36273</c:v>
                </c:pt>
                <c:pt idx="393" formatCode="General">
                  <c:v>2.3687399999999998</c:v>
                </c:pt>
                <c:pt idx="394" formatCode="General">
                  <c:v>2.3747500000000001</c:v>
                </c:pt>
                <c:pt idx="395" formatCode="General">
                  <c:v>2.38076</c:v>
                </c:pt>
                <c:pt idx="396" formatCode="General">
                  <c:v>2.3867699999999998</c:v>
                </c:pt>
                <c:pt idx="397" formatCode="General">
                  <c:v>2.3927900000000002</c:v>
                </c:pt>
                <c:pt idx="398" formatCode="General">
                  <c:v>2.3988</c:v>
                </c:pt>
                <c:pt idx="399" formatCode="General">
                  <c:v>2.4048099999999999</c:v>
                </c:pt>
                <c:pt idx="400" formatCode="General">
                  <c:v>2.4108200000000002</c:v>
                </c:pt>
                <c:pt idx="401" formatCode="General">
                  <c:v>2.41683</c:v>
                </c:pt>
                <c:pt idx="402" formatCode="General">
                  <c:v>2.4228499999999999</c:v>
                </c:pt>
                <c:pt idx="403" formatCode="General">
                  <c:v>2.4288599999999998</c:v>
                </c:pt>
                <c:pt idx="404" formatCode="General">
                  <c:v>2.4348700000000001</c:v>
                </c:pt>
                <c:pt idx="405" formatCode="General">
                  <c:v>2.4408799999999999</c:v>
                </c:pt>
                <c:pt idx="406" formatCode="General">
                  <c:v>2.4468899999999998</c:v>
                </c:pt>
                <c:pt idx="407" formatCode="General">
                  <c:v>2.4529100000000001</c:v>
                </c:pt>
                <c:pt idx="408" formatCode="General">
                  <c:v>2.45892</c:v>
                </c:pt>
                <c:pt idx="409" formatCode="General">
                  <c:v>2.4649299999999998</c:v>
                </c:pt>
                <c:pt idx="410" formatCode="General">
                  <c:v>2.4709400000000001</c:v>
                </c:pt>
                <c:pt idx="411" formatCode="General">
                  <c:v>2.47695</c:v>
                </c:pt>
                <c:pt idx="412" formatCode="General">
                  <c:v>2.4829699999999999</c:v>
                </c:pt>
                <c:pt idx="413" formatCode="General">
                  <c:v>2.4889800000000002</c:v>
                </c:pt>
                <c:pt idx="414" formatCode="General">
                  <c:v>2.49499</c:v>
                </c:pt>
                <c:pt idx="415" formatCode="General">
                  <c:v>2.5009999999999999</c:v>
                </c:pt>
                <c:pt idx="416" formatCode="General">
                  <c:v>2.5070100000000002</c:v>
                </c:pt>
                <c:pt idx="417" formatCode="General">
                  <c:v>2.5130300000000001</c:v>
                </c:pt>
                <c:pt idx="418" formatCode="General">
                  <c:v>2.5190399999999999</c:v>
                </c:pt>
                <c:pt idx="419" formatCode="General">
                  <c:v>2.5250499999999998</c:v>
                </c:pt>
                <c:pt idx="420" formatCode="General">
                  <c:v>2.5310600000000001</c:v>
                </c:pt>
                <c:pt idx="421" formatCode="General">
                  <c:v>2.5370699999999999</c:v>
                </c:pt>
                <c:pt idx="422" formatCode="General">
                  <c:v>2.5430899999999999</c:v>
                </c:pt>
                <c:pt idx="423" formatCode="General">
                  <c:v>2.5491000000000001</c:v>
                </c:pt>
                <c:pt idx="424" formatCode="General">
                  <c:v>2.55511</c:v>
                </c:pt>
                <c:pt idx="425" formatCode="General">
                  <c:v>2.5611199999999998</c:v>
                </c:pt>
                <c:pt idx="426" formatCode="General">
                  <c:v>2.5671300000000001</c:v>
                </c:pt>
                <c:pt idx="427" formatCode="General">
                  <c:v>2.57315</c:v>
                </c:pt>
                <c:pt idx="428" formatCode="General">
                  <c:v>2.5791599999999999</c:v>
                </c:pt>
                <c:pt idx="429" formatCode="General">
                  <c:v>2.5851700000000002</c:v>
                </c:pt>
                <c:pt idx="430" formatCode="General">
                  <c:v>2.59118</c:v>
                </c:pt>
                <c:pt idx="431" formatCode="General">
                  <c:v>2.5971899999999999</c:v>
                </c:pt>
                <c:pt idx="432" formatCode="General">
                  <c:v>2.6032099999999998</c:v>
                </c:pt>
                <c:pt idx="433" formatCode="General">
                  <c:v>2.6092200000000001</c:v>
                </c:pt>
                <c:pt idx="434" formatCode="General">
                  <c:v>2.6152299999999999</c:v>
                </c:pt>
                <c:pt idx="435" formatCode="General">
                  <c:v>2.6212399999999998</c:v>
                </c:pt>
                <c:pt idx="436" formatCode="General">
                  <c:v>2.6272500000000001</c:v>
                </c:pt>
                <c:pt idx="437" formatCode="General">
                  <c:v>2.63327</c:v>
                </c:pt>
                <c:pt idx="438" formatCode="General">
                  <c:v>2.6392799999999998</c:v>
                </c:pt>
                <c:pt idx="439" formatCode="General">
                  <c:v>2.6452900000000001</c:v>
                </c:pt>
                <c:pt idx="440" formatCode="General">
                  <c:v>2.6513</c:v>
                </c:pt>
                <c:pt idx="441" formatCode="General">
                  <c:v>2.6573099999999998</c:v>
                </c:pt>
                <c:pt idx="442" formatCode="General">
                  <c:v>2.6633300000000002</c:v>
                </c:pt>
                <c:pt idx="443" formatCode="General">
                  <c:v>2.66934</c:v>
                </c:pt>
                <c:pt idx="444" formatCode="General">
                  <c:v>2.6753499999999999</c:v>
                </c:pt>
                <c:pt idx="445" formatCode="General">
                  <c:v>2.6813600000000002</c:v>
                </c:pt>
                <c:pt idx="446" formatCode="General">
                  <c:v>2.68737</c:v>
                </c:pt>
                <c:pt idx="447" formatCode="General">
                  <c:v>2.69339</c:v>
                </c:pt>
                <c:pt idx="448" formatCode="General">
                  <c:v>2.6993999999999998</c:v>
                </c:pt>
                <c:pt idx="449" formatCode="General">
                  <c:v>2.7054100000000001</c:v>
                </c:pt>
                <c:pt idx="450" formatCode="General">
                  <c:v>2.7114199999999999</c:v>
                </c:pt>
                <c:pt idx="451" formatCode="General">
                  <c:v>2.7174299999999998</c:v>
                </c:pt>
                <c:pt idx="452" formatCode="General">
                  <c:v>2.7234500000000001</c:v>
                </c:pt>
                <c:pt idx="453" formatCode="General">
                  <c:v>2.72946</c:v>
                </c:pt>
                <c:pt idx="454" formatCode="General">
                  <c:v>2.7354699999999998</c:v>
                </c:pt>
                <c:pt idx="455" formatCode="General">
                  <c:v>2.7414800000000001</c:v>
                </c:pt>
                <c:pt idx="456" formatCode="General">
                  <c:v>2.74749</c:v>
                </c:pt>
                <c:pt idx="457" formatCode="General">
                  <c:v>2.7535099999999999</c:v>
                </c:pt>
                <c:pt idx="458" formatCode="General">
                  <c:v>2.7595200000000002</c:v>
                </c:pt>
                <c:pt idx="459" formatCode="General">
                  <c:v>2.76553</c:v>
                </c:pt>
                <c:pt idx="460" formatCode="General">
                  <c:v>2.7715399999999999</c:v>
                </c:pt>
                <c:pt idx="461" formatCode="General">
                  <c:v>2.7775500000000002</c:v>
                </c:pt>
                <c:pt idx="462" formatCode="General">
                  <c:v>2.7835700000000001</c:v>
                </c:pt>
                <c:pt idx="463" formatCode="General">
                  <c:v>2.7895799999999999</c:v>
                </c:pt>
                <c:pt idx="464" formatCode="General">
                  <c:v>2.7955899999999998</c:v>
                </c:pt>
                <c:pt idx="465" formatCode="General">
                  <c:v>2.8016000000000001</c:v>
                </c:pt>
                <c:pt idx="466" formatCode="General">
                  <c:v>2.80762</c:v>
                </c:pt>
                <c:pt idx="467" formatCode="General">
                  <c:v>2.8136299999999999</c:v>
                </c:pt>
                <c:pt idx="468" formatCode="General">
                  <c:v>2.8196400000000001</c:v>
                </c:pt>
                <c:pt idx="469" formatCode="General">
                  <c:v>2.82565</c:v>
                </c:pt>
                <c:pt idx="470" formatCode="General">
                  <c:v>2.8316599999999998</c:v>
                </c:pt>
                <c:pt idx="471" formatCode="General">
                  <c:v>2.8376800000000002</c:v>
                </c:pt>
                <c:pt idx="472" formatCode="General">
                  <c:v>2.8436900000000001</c:v>
                </c:pt>
                <c:pt idx="473" formatCode="General">
                  <c:v>2.8496999999999999</c:v>
                </c:pt>
                <c:pt idx="474" formatCode="General">
                  <c:v>2.8557100000000002</c:v>
                </c:pt>
                <c:pt idx="475" formatCode="General">
                  <c:v>2.86172</c:v>
                </c:pt>
                <c:pt idx="476" formatCode="General">
                  <c:v>2.86774</c:v>
                </c:pt>
                <c:pt idx="477" formatCode="General">
                  <c:v>2.8737499999999998</c:v>
                </c:pt>
                <c:pt idx="478" formatCode="General">
                  <c:v>2.8797600000000001</c:v>
                </c:pt>
                <c:pt idx="479" formatCode="General">
                  <c:v>2.8857699999999999</c:v>
                </c:pt>
                <c:pt idx="480" formatCode="General">
                  <c:v>2.8917799999999998</c:v>
                </c:pt>
                <c:pt idx="481" formatCode="General">
                  <c:v>2.8978000000000002</c:v>
                </c:pt>
                <c:pt idx="482" formatCode="General">
                  <c:v>2.90381</c:v>
                </c:pt>
                <c:pt idx="483" formatCode="General">
                  <c:v>2.9098199999999999</c:v>
                </c:pt>
                <c:pt idx="484" formatCode="General">
                  <c:v>2.9158300000000001</c:v>
                </c:pt>
                <c:pt idx="485" formatCode="General">
                  <c:v>2.92184</c:v>
                </c:pt>
                <c:pt idx="486" formatCode="General">
                  <c:v>2.9278599999999999</c:v>
                </c:pt>
                <c:pt idx="487" formatCode="General">
                  <c:v>2.9338700000000002</c:v>
                </c:pt>
                <c:pt idx="488" formatCode="General">
                  <c:v>2.93988</c:v>
                </c:pt>
                <c:pt idx="489" formatCode="General">
                  <c:v>2.9458899999999999</c:v>
                </c:pt>
                <c:pt idx="490" formatCode="General">
                  <c:v>2.9519000000000002</c:v>
                </c:pt>
                <c:pt idx="491" formatCode="General">
                  <c:v>2.9579200000000001</c:v>
                </c:pt>
                <c:pt idx="492" formatCode="General">
                  <c:v>2.96393</c:v>
                </c:pt>
                <c:pt idx="493" formatCode="General">
                  <c:v>2.9699399999999998</c:v>
                </c:pt>
                <c:pt idx="494" formatCode="General">
                  <c:v>2.9759500000000001</c:v>
                </c:pt>
                <c:pt idx="495" formatCode="General">
                  <c:v>2.9819599999999999</c:v>
                </c:pt>
                <c:pt idx="496" formatCode="General">
                  <c:v>2.9879799999999999</c:v>
                </c:pt>
                <c:pt idx="497" formatCode="General">
                  <c:v>2.9939900000000002</c:v>
                </c:pt>
                <c:pt idx="498" formatCode="General">
                  <c:v>3</c:v>
                </c:pt>
              </c:numCache>
            </c:numRef>
          </c:xVal>
          <c:yVal>
            <c:numRef>
              <c:f>Tool!$I$5:$I$503</c:f>
              <c:numCache>
                <c:formatCode>General</c:formatCode>
                <c:ptCount val="499"/>
                <c:pt idx="0">
                  <c:v>2.6146361046173031E-2</c:v>
                </c:pt>
                <c:pt idx="1">
                  <c:v>5.2121065627497305E-2</c:v>
                </c:pt>
                <c:pt idx="2">
                  <c:v>7.792455099469886E-2</c:v>
                </c:pt>
                <c:pt idx="3">
                  <c:v>0.10355704341909772</c:v>
                </c:pt>
                <c:pt idx="4">
                  <c:v>0.12901843012533812</c:v>
                </c:pt>
                <c:pt idx="5">
                  <c:v>0.15430836056037375</c:v>
                </c:pt>
                <c:pt idx="6">
                  <c:v>0.17942616881658771</c:v>
                </c:pt>
                <c:pt idx="7">
                  <c:v>0.20437116587182233</c:v>
                </c:pt>
                <c:pt idx="8">
                  <c:v>0.22914197769424752</c:v>
                </c:pt>
                <c:pt idx="9">
                  <c:v>0.25373707228909126</c:v>
                </c:pt>
                <c:pt idx="10">
                  <c:v>0.27815505323045103</c:v>
                </c:pt>
                <c:pt idx="11">
                  <c:v>0.30239360170396717</c:v>
                </c:pt>
                <c:pt idx="12">
                  <c:v>0.32645066064383399</c:v>
                </c:pt>
                <c:pt idx="13">
                  <c:v>0.35032314479042304</c:v>
                </c:pt>
                <c:pt idx="14">
                  <c:v>0.37400794324309156</c:v>
                </c:pt>
                <c:pt idx="15">
                  <c:v>0.39750213328119993</c:v>
                </c:pt>
                <c:pt idx="16">
                  <c:v>0.42079955581051676</c:v>
                </c:pt>
                <c:pt idx="17">
                  <c:v>0.4438998084093766</c:v>
                </c:pt>
                <c:pt idx="18">
                  <c:v>0.46679649382432414</c:v>
                </c:pt>
                <c:pt idx="19">
                  <c:v>0.48948384074325835</c:v>
                </c:pt>
                <c:pt idx="20">
                  <c:v>0.51196071000181709</c:v>
                </c:pt>
                <c:pt idx="21">
                  <c:v>0.53421288937051337</c:v>
                </c:pt>
                <c:pt idx="22">
                  <c:v>0.55623734057296947</c:v>
                </c:pt>
                <c:pt idx="23">
                  <c:v>0.57802580023158345</c:v>
                </c:pt>
                <c:pt idx="24">
                  <c:v>0.59957068702445016</c:v>
                </c:pt>
                <c:pt idx="25">
                  <c:v>0.62086263583487633</c:v>
                </c:pt>
                <c:pt idx="26">
                  <c:v>0.6418909437053697</c:v>
                </c:pt>
                <c:pt idx="27">
                  <c:v>0.66264490769269235</c:v>
                </c:pt>
                <c:pt idx="28">
                  <c:v>0.68311243454984338</c:v>
                </c:pt>
                <c:pt idx="29">
                  <c:v>0.70327990956592634</c:v>
                </c:pt>
                <c:pt idx="30">
                  <c:v>0.71940837583675887</c:v>
                </c:pt>
                <c:pt idx="31">
                  <c:v>0.72455838437602871</c:v>
                </c:pt>
                <c:pt idx="32">
                  <c:v>0.72951021405408423</c:v>
                </c:pt>
                <c:pt idx="33">
                  <c:v>0.73424991015311114</c:v>
                </c:pt>
                <c:pt idx="34">
                  <c:v>0.73876219059575909</c:v>
                </c:pt>
                <c:pt idx="35">
                  <c:v>0.74303039610472255</c:v>
                </c:pt>
                <c:pt idx="36">
                  <c:v>0.74703557153555911</c:v>
                </c:pt>
                <c:pt idx="37">
                  <c:v>0.75075460860537047</c:v>
                </c:pt>
                <c:pt idx="38">
                  <c:v>0.75416537910924664</c:v>
                </c:pt>
                <c:pt idx="39">
                  <c:v>0.75723784728893417</c:v>
                </c:pt>
                <c:pt idx="40">
                  <c:v>0.75994094070339668</c:v>
                </c:pt>
                <c:pt idx="41">
                  <c:v>0.76223887555907033</c:v>
                </c:pt>
                <c:pt idx="42">
                  <c:v>0.764088171439959</c:v>
                </c:pt>
                <c:pt idx="43">
                  <c:v>0.76543917963167918</c:v>
                </c:pt>
                <c:pt idx="44">
                  <c:v>0.76623393677486595</c:v>
                </c:pt>
                <c:pt idx="45">
                  <c:v>0.76640485744156839</c:v>
                </c:pt>
                <c:pt idx="46">
                  <c:v>0.76586852436027364</c:v>
                </c:pt>
                <c:pt idx="47">
                  <c:v>0.76452694760237183</c:v>
                </c:pt>
                <c:pt idx="48">
                  <c:v>0.76226004738341924</c:v>
                </c:pt>
                <c:pt idx="49">
                  <c:v>0.75891971502978162</c:v>
                </c:pt>
                <c:pt idx="50">
                  <c:v>0.74805299999999997</c:v>
                </c:pt>
                <c:pt idx="51">
                  <c:v>0.73475299999999999</c:v>
                </c:pt>
                <c:pt idx="52">
                  <c:v>0.71997199999999995</c:v>
                </c:pt>
                <c:pt idx="53">
                  <c:v>0.70338000000000001</c:v>
                </c:pt>
                <c:pt idx="54">
                  <c:v>0.68453900000000001</c:v>
                </c:pt>
                <c:pt idx="55">
                  <c:v>0.66286500000000004</c:v>
                </c:pt>
                <c:pt idx="56">
                  <c:v>0.63756699999999999</c:v>
                </c:pt>
                <c:pt idx="57">
                  <c:v>0.60758900000000005</c:v>
                </c:pt>
                <c:pt idx="58">
                  <c:v>0.57159199999999999</c:v>
                </c:pt>
                <c:pt idx="59">
                  <c:v>0.52814099999999997</c:v>
                </c:pt>
                <c:pt idx="60">
                  <c:v>0.476545</c:v>
                </c:pt>
                <c:pt idx="61">
                  <c:v>0.41864000000000001</c:v>
                </c:pt>
                <c:pt idx="62">
                  <c:v>0.35982199999999998</c:v>
                </c:pt>
                <c:pt idx="63">
                  <c:v>0.30621199999999998</c:v>
                </c:pt>
                <c:pt idx="64">
                  <c:v>0.26087100000000002</c:v>
                </c:pt>
                <c:pt idx="65">
                  <c:v>0.22378000000000001</c:v>
                </c:pt>
                <c:pt idx="66">
                  <c:v>0.19364899999999999</c:v>
                </c:pt>
                <c:pt idx="67">
                  <c:v>0.169044</c:v>
                </c:pt>
                <c:pt idx="68">
                  <c:v>0.148757</c:v>
                </c:pt>
                <c:pt idx="69">
                  <c:v>0.13184899999999999</c:v>
                </c:pt>
                <c:pt idx="70">
                  <c:v>0.11761199999999999</c:v>
                </c:pt>
                <c:pt idx="71">
                  <c:v>0.105506</c:v>
                </c:pt>
                <c:pt idx="72">
                  <c:v>9.5124630000000002E-2</c:v>
                </c:pt>
                <c:pt idx="73">
                  <c:v>8.6151900000000003E-2</c:v>
                </c:pt>
                <c:pt idx="74">
                  <c:v>7.8341140000000004E-2</c:v>
                </c:pt>
                <c:pt idx="75">
                  <c:v>7.1498249999999999E-2</c:v>
                </c:pt>
                <c:pt idx="76">
                  <c:v>6.5472849999999999E-2</c:v>
                </c:pt>
                <c:pt idx="77">
                  <c:v>6.0137400000000001E-2</c:v>
                </c:pt>
                <c:pt idx="78">
                  <c:v>5.5385660000000003E-2</c:v>
                </c:pt>
                <c:pt idx="79">
                  <c:v>5.1147860000000003E-2</c:v>
                </c:pt>
                <c:pt idx="80">
                  <c:v>4.7343799999999998E-2</c:v>
                </c:pt>
                <c:pt idx="81">
                  <c:v>4.3912E-2</c:v>
                </c:pt>
                <c:pt idx="82">
                  <c:v>4.0829320000000002E-2</c:v>
                </c:pt>
                <c:pt idx="83">
                  <c:v>3.801711E-2</c:v>
                </c:pt>
                <c:pt idx="84">
                  <c:v>3.5473339999999999E-2</c:v>
                </c:pt>
                <c:pt idx="85">
                  <c:v>3.3160240000000001E-2</c:v>
                </c:pt>
                <c:pt idx="86">
                  <c:v>3.1024510000000002E-2</c:v>
                </c:pt>
                <c:pt idx="87">
                  <c:v>2.9107830000000001E-2</c:v>
                </c:pt>
                <c:pt idx="88">
                  <c:v>2.7302730000000001E-2</c:v>
                </c:pt>
                <c:pt idx="89">
                  <c:v>2.5687939999999999E-2</c:v>
                </c:pt>
                <c:pt idx="90">
                  <c:v>2.4166320000000002E-2</c:v>
                </c:pt>
                <c:pt idx="91">
                  <c:v>2.2777990000000001E-2</c:v>
                </c:pt>
                <c:pt idx="92">
                  <c:v>2.150067E-2</c:v>
                </c:pt>
                <c:pt idx="93">
                  <c:v>2.028758E-2</c:v>
                </c:pt>
                <c:pt idx="94">
                  <c:v>1.9215489999999998E-2</c:v>
                </c:pt>
                <c:pt idx="95">
                  <c:v>1.8145890000000001E-2</c:v>
                </c:pt>
                <c:pt idx="96">
                  <c:v>1.724154E-2</c:v>
                </c:pt>
                <c:pt idx="97">
                  <c:v>1.6294960000000001E-2</c:v>
                </c:pt>
                <c:pt idx="98">
                  <c:v>1.5525850000000001E-2</c:v>
                </c:pt>
                <c:pt idx="99">
                  <c:v>1.4686899999999999E-2</c:v>
                </c:pt>
                <c:pt idx="100">
                  <c:v>1.402725E-2</c:v>
                </c:pt>
                <c:pt idx="101">
                  <c:v>1.328228E-2</c:v>
                </c:pt>
                <c:pt idx="102">
                  <c:v>1.2712940000000001E-2</c:v>
                </c:pt>
                <c:pt idx="103">
                  <c:v>1.20488E-2</c:v>
                </c:pt>
                <c:pt idx="104">
                  <c:v>1.1556210000000001E-2</c:v>
                </c:pt>
                <c:pt idx="105">
                  <c:v>1.09601E-2</c:v>
                </c:pt>
                <c:pt idx="106">
                  <c:v>1.053492E-2</c:v>
                </c:pt>
                <c:pt idx="107">
                  <c:v>9.9946859999999992E-3</c:v>
                </c:pt>
                <c:pt idx="108">
                  <c:v>9.630497E-3</c:v>
                </c:pt>
                <c:pt idx="109">
                  <c:v>9.1349770000000007E-3</c:v>
                </c:pt>
                <c:pt idx="110">
                  <c:v>8.8270919999999999E-3</c:v>
                </c:pt>
                <c:pt idx="111">
                  <c:v>8.366699E-3</c:v>
                </c:pt>
                <c:pt idx="112">
                  <c:v>8.110964E-3</c:v>
                </c:pt>
                <c:pt idx="113">
                  <c:v>7.6783499999999996E-3</c:v>
                </c:pt>
                <c:pt idx="114">
                  <c:v>7.4699659999999998E-3</c:v>
                </c:pt>
                <c:pt idx="115">
                  <c:v>7.0608679999999997E-3</c:v>
                </c:pt>
                <c:pt idx="116">
                  <c:v>6.8931069999999999E-3</c:v>
                </c:pt>
                <c:pt idx="117">
                  <c:v>6.5072109999999997E-3</c:v>
                </c:pt>
                <c:pt idx="118">
                  <c:v>6.3704190000000004E-3</c:v>
                </c:pt>
                <c:pt idx="119">
                  <c:v>6.0119400000000003E-3</c:v>
                </c:pt>
                <c:pt idx="120">
                  <c:v>5.8929630000000002E-3</c:v>
                </c:pt>
                <c:pt idx="121">
                  <c:v>5.5705329999999999E-3</c:v>
                </c:pt>
                <c:pt idx="122">
                  <c:v>5.4532010000000004E-3</c:v>
                </c:pt>
                <c:pt idx="123">
                  <c:v>5.178635E-3</c:v>
                </c:pt>
                <c:pt idx="124">
                  <c:v>5.045529E-3</c:v>
                </c:pt>
                <c:pt idx="125">
                  <c:v>4.8311200000000004E-3</c:v>
                </c:pt>
                <c:pt idx="126">
                  <c:v>4.66688E-3</c:v>
                </c:pt>
                <c:pt idx="127">
                  <c:v>4.5213809999999997E-3</c:v>
                </c:pt>
                <c:pt idx="128">
                  <c:v>4.3170680000000003E-3</c:v>
                </c:pt>
                <c:pt idx="129">
                  <c:v>4.241018E-3</c:v>
                </c:pt>
                <c:pt idx="130">
                  <c:v>3.998499E-3</c:v>
                </c:pt>
                <c:pt idx="131">
                  <c:v>3.9804549999999999E-3</c:v>
                </c:pt>
                <c:pt idx="132">
                  <c:v>3.715019E-3</c:v>
                </c:pt>
                <c:pt idx="133">
                  <c:v>3.7303649999999998E-3</c:v>
                </c:pt>
                <c:pt idx="134">
                  <c:v>3.4698329999999999E-3</c:v>
                </c:pt>
                <c:pt idx="135">
                  <c:v>3.4839599999999999E-3</c:v>
                </c:pt>
                <c:pt idx="136">
                  <c:v>3.2630630000000001E-3</c:v>
                </c:pt>
                <c:pt idx="137">
                  <c:v>3.2392779999999999E-3</c:v>
                </c:pt>
                <c:pt idx="138">
                  <c:v>3.0896299999999999E-3</c:v>
                </c:pt>
                <c:pt idx="139">
                  <c:v>3.0005380000000001E-3</c:v>
                </c:pt>
                <c:pt idx="140">
                  <c:v>2.9387950000000001E-3</c:v>
                </c:pt>
                <c:pt idx="141">
                  <c:v>2.7774570000000001E-3</c:v>
                </c:pt>
                <c:pt idx="142">
                  <c:v>2.7960120000000001E-3</c:v>
                </c:pt>
                <c:pt idx="143">
                  <c:v>2.5821099999999999E-3</c:v>
                </c:pt>
                <c:pt idx="144">
                  <c:v>2.6470719999999999E-3</c:v>
                </c:pt>
                <c:pt idx="145">
                  <c:v>2.423878E-3</c:v>
                </c:pt>
                <c:pt idx="146">
                  <c:v>2.483514E-3</c:v>
                </c:pt>
                <c:pt idx="147">
                  <c:v>2.304258E-3</c:v>
                </c:pt>
                <c:pt idx="148">
                  <c:v>2.3068440000000002E-3</c:v>
                </c:pt>
                <c:pt idx="149">
                  <c:v>2.2140800000000002E-3</c:v>
                </c:pt>
                <c:pt idx="150">
                  <c:v>2.129297E-3</c:v>
                </c:pt>
                <c:pt idx="151">
                  <c:v>2.1351439999999998E-3</c:v>
                </c:pt>
                <c:pt idx="152">
                  <c:v>1.9696449999999999E-3</c:v>
                </c:pt>
                <c:pt idx="153">
                  <c:v>2.0466429999999999E-3</c:v>
                </c:pt>
                <c:pt idx="154">
                  <c:v>1.845029E-3</c:v>
                </c:pt>
                <c:pt idx="155">
                  <c:v>1.9342560000000001E-3</c:v>
                </c:pt>
                <c:pt idx="156">
                  <c:v>1.761997E-3</c:v>
                </c:pt>
                <c:pt idx="157">
                  <c:v>1.797678E-3</c:v>
                </c:pt>
                <c:pt idx="158">
                  <c:v>1.711427E-3</c:v>
                </c:pt>
                <c:pt idx="159">
                  <c:v>1.6522609999999999E-3</c:v>
                </c:pt>
                <c:pt idx="160">
                  <c:v>1.6709030000000001E-3</c:v>
                </c:pt>
                <c:pt idx="161">
                  <c:v>1.5226040000000001E-3</c:v>
                </c:pt>
                <c:pt idx="162">
                  <c:v>1.614615E-3</c:v>
                </c:pt>
                <c:pt idx="163">
                  <c:v>1.430225E-3</c:v>
                </c:pt>
                <c:pt idx="164">
                  <c:v>1.5265389999999999E-3</c:v>
                </c:pt>
                <c:pt idx="165">
                  <c:v>1.3812760000000001E-3</c:v>
                </c:pt>
                <c:pt idx="166">
                  <c:v>1.4099360000000001E-3</c:v>
                </c:pt>
                <c:pt idx="167">
                  <c:v>1.3614009999999999E-3</c:v>
                </c:pt>
                <c:pt idx="168">
                  <c:v>1.286988E-3</c:v>
                </c:pt>
                <c:pt idx="169">
                  <c:v>1.341964E-3</c:v>
                </c:pt>
                <c:pt idx="170">
                  <c:v>1.1873400000000001E-3</c:v>
                </c:pt>
                <c:pt idx="171">
                  <c:v>1.29531E-3</c:v>
                </c:pt>
                <c:pt idx="172">
                  <c:v>1.1310459999999999E-3</c:v>
                </c:pt>
                <c:pt idx="173">
                  <c:v>1.2110650000000001E-3</c:v>
                </c:pt>
                <c:pt idx="174">
                  <c:v>1.1156779999999999E-3</c:v>
                </c:pt>
                <c:pt idx="175">
                  <c:v>1.1033219999999999E-3</c:v>
                </c:pt>
                <c:pt idx="176">
                  <c:v>1.1162139999999999E-3</c:v>
                </c:pt>
                <c:pt idx="177">
                  <c:v>1.003288E-3</c:v>
                </c:pt>
                <c:pt idx="178">
                  <c:v>1.099116E-3</c:v>
                </c:pt>
                <c:pt idx="179">
                  <c:v>9.4045789999999999E-4</c:v>
                </c:pt>
                <c:pt idx="180">
                  <c:v>1.0429739999999999E-3</c:v>
                </c:pt>
                <c:pt idx="181">
                  <c:v>9.2353930000000002E-4</c:v>
                </c:pt>
                <c:pt idx="182">
                  <c:v>9.5271229999999998E-4</c:v>
                </c:pt>
                <c:pt idx="183">
                  <c:v>9.3366629999999998E-4</c:v>
                </c:pt>
                <c:pt idx="184">
                  <c:v>8.5741479999999998E-4</c:v>
                </c:pt>
                <c:pt idx="185">
                  <c:v>9.3557609999999995E-4</c:v>
                </c:pt>
                <c:pt idx="186">
                  <c:v>7.9181710000000003E-4</c:v>
                </c:pt>
                <c:pt idx="187">
                  <c:v>9.0047550000000004E-4</c:v>
                </c:pt>
                <c:pt idx="188">
                  <c:v>7.7296690000000002E-4</c:v>
                </c:pt>
                <c:pt idx="189">
                  <c:v>8.2570240000000002E-4</c:v>
                </c:pt>
                <c:pt idx="190">
                  <c:v>7.8781789999999999E-4</c:v>
                </c:pt>
                <c:pt idx="191">
                  <c:v>7.3729850000000001E-4</c:v>
                </c:pt>
                <c:pt idx="192">
                  <c:v>8.0129919999999996E-4</c:v>
                </c:pt>
                <c:pt idx="193">
                  <c:v>6.7254510000000001E-4</c:v>
                </c:pt>
                <c:pt idx="194">
                  <c:v>7.8027589999999996E-4</c:v>
                </c:pt>
                <c:pt idx="195">
                  <c:v>6.5373579999999996E-4</c:v>
                </c:pt>
                <c:pt idx="196">
                  <c:v>7.1713300000000001E-4</c:v>
                </c:pt>
                <c:pt idx="197">
                  <c:v>6.7176759999999997E-4</c:v>
                </c:pt>
                <c:pt idx="198">
                  <c:v>6.3571660000000002E-4</c:v>
                </c:pt>
                <c:pt idx="199">
                  <c:v>6.92006E-4</c:v>
                </c:pt>
                <c:pt idx="200">
                  <c:v>5.7447840000000004E-4</c:v>
                </c:pt>
                <c:pt idx="201">
                  <c:v>6.7919659999999995E-4</c:v>
                </c:pt>
                <c:pt idx="202">
                  <c:v>5.5825359999999997E-4</c:v>
                </c:pt>
                <c:pt idx="203">
                  <c:v>6.2352670000000003E-4</c:v>
                </c:pt>
                <c:pt idx="204">
                  <c:v>5.7945040000000005E-4</c:v>
                </c:pt>
                <c:pt idx="205">
                  <c:v>5.482811E-4</c:v>
                </c:pt>
                <c:pt idx="206">
                  <c:v>6.0328539999999998E-4</c:v>
                </c:pt>
                <c:pt idx="207">
                  <c:v>4.925299E-4</c:v>
                </c:pt>
                <c:pt idx="208">
                  <c:v>5.939497E-4</c:v>
                </c:pt>
                <c:pt idx="209">
                  <c:v>4.8129299999999999E-4</c:v>
                </c:pt>
                <c:pt idx="210">
                  <c:v>5.4208860000000002E-4</c:v>
                </c:pt>
                <c:pt idx="211">
                  <c:v>5.0602609999999995E-4</c:v>
                </c:pt>
                <c:pt idx="212">
                  <c:v>4.7220340000000001E-4</c:v>
                </c:pt>
                <c:pt idx="213">
                  <c:v>5.3100309999999998E-4</c:v>
                </c:pt>
                <c:pt idx="214">
                  <c:v>4.2360439999999998E-4</c:v>
                </c:pt>
                <c:pt idx="215">
                  <c:v>5.212986E-4</c:v>
                </c:pt>
                <c:pt idx="216">
                  <c:v>4.1932999999999998E-4</c:v>
                </c:pt>
                <c:pt idx="217">
                  <c:v>4.7044449999999999E-4</c:v>
                </c:pt>
                <c:pt idx="218">
                  <c:v>4.4765650000000001E-4</c:v>
                </c:pt>
                <c:pt idx="219">
                  <c:v>4.05666E-4</c:v>
                </c:pt>
                <c:pt idx="220">
                  <c:v>4.714513E-4</c:v>
                </c:pt>
                <c:pt idx="221">
                  <c:v>3.6586730000000002E-4</c:v>
                </c:pt>
                <c:pt idx="222">
                  <c:v>4.5823720000000002E-4</c:v>
                </c:pt>
                <c:pt idx="223">
                  <c:v>3.6992060000000002E-4</c:v>
                </c:pt>
                <c:pt idx="224">
                  <c:v>4.0668619999999998E-4</c:v>
                </c:pt>
                <c:pt idx="225">
                  <c:v>4.0117730000000001E-4</c:v>
                </c:pt>
                <c:pt idx="226">
                  <c:v>3.4760789999999998E-4</c:v>
                </c:pt>
                <c:pt idx="227">
                  <c:v>4.2128169999999999E-4</c:v>
                </c:pt>
                <c:pt idx="228">
                  <c:v>3.182692E-4</c:v>
                </c:pt>
                <c:pt idx="229">
                  <c:v>4.0216980000000002E-4</c:v>
                </c:pt>
                <c:pt idx="230">
                  <c:v>3.312101E-4</c:v>
                </c:pt>
                <c:pt idx="231">
                  <c:v>3.494735E-4</c:v>
                </c:pt>
                <c:pt idx="232">
                  <c:v>3.6378639999999998E-4</c:v>
                </c:pt>
                <c:pt idx="233">
                  <c:v>2.975753E-4</c:v>
                </c:pt>
                <c:pt idx="234">
                  <c:v>3.7754120000000002E-4</c:v>
                </c:pt>
                <c:pt idx="235">
                  <c:v>2.8017869999999998E-4</c:v>
                </c:pt>
                <c:pt idx="236">
                  <c:v>3.510543E-4</c:v>
                </c:pt>
                <c:pt idx="237">
                  <c:v>3.0148950000000001E-4</c:v>
                </c:pt>
                <c:pt idx="238">
                  <c:v>2.9813080000000002E-4</c:v>
                </c:pt>
                <c:pt idx="239">
                  <c:v>3.3281860000000001E-4</c:v>
                </c:pt>
                <c:pt idx="240">
                  <c:v>2.5557889999999999E-4</c:v>
                </c:pt>
                <c:pt idx="241">
                  <c:v>3.3767120000000001E-4</c:v>
                </c:pt>
                <c:pt idx="242">
                  <c:v>2.5103780000000002E-4</c:v>
                </c:pt>
                <c:pt idx="243">
                  <c:v>3.0356440000000001E-4</c:v>
                </c:pt>
                <c:pt idx="244">
                  <c:v>2.7892020000000001E-4</c:v>
                </c:pt>
                <c:pt idx="245">
                  <c:v>2.526626E-4</c:v>
                </c:pt>
                <c:pt idx="246">
                  <c:v>3.0567590000000003E-4</c:v>
                </c:pt>
                <c:pt idx="247">
                  <c:v>2.2188120000000001E-4</c:v>
                </c:pt>
                <c:pt idx="248">
                  <c:v>2.9967470000000001E-4</c:v>
                </c:pt>
                <c:pt idx="249">
                  <c:v>2.3004460000000001E-4</c:v>
                </c:pt>
                <c:pt idx="250">
                  <c:v>2.5922160000000001E-4</c:v>
                </c:pt>
                <c:pt idx="251">
                  <c:v>2.6134699999999999E-4</c:v>
                </c:pt>
                <c:pt idx="252">
                  <c:v>2.136614E-4</c:v>
                </c:pt>
                <c:pt idx="253">
                  <c:v>2.79933E-4</c:v>
                </c:pt>
                <c:pt idx="254">
                  <c:v>1.9667369999999999E-4</c:v>
                </c:pt>
                <c:pt idx="255">
                  <c:v>2.6232689999999999E-4</c:v>
                </c:pt>
                <c:pt idx="256">
                  <c:v>2.1588219999999999E-4</c:v>
                </c:pt>
                <c:pt idx="257">
                  <c:v>2.1842610000000001E-4</c:v>
                </c:pt>
                <c:pt idx="258">
                  <c:v>2.4632279999999999E-4</c:v>
                </c:pt>
                <c:pt idx="259">
                  <c:v>1.820363E-4</c:v>
                </c:pt>
                <c:pt idx="260">
                  <c:v>2.5359150000000001E-4</c:v>
                </c:pt>
                <c:pt idx="261">
                  <c:v>1.797146E-4</c:v>
                </c:pt>
                <c:pt idx="262">
                  <c:v>2.25367E-4</c:v>
                </c:pt>
                <c:pt idx="263">
                  <c:v>2.065851E-4</c:v>
                </c:pt>
                <c:pt idx="264">
                  <c:v>1.8233609999999999E-4</c:v>
                </c:pt>
                <c:pt idx="265">
                  <c:v>2.3131709999999999E-4</c:v>
                </c:pt>
                <c:pt idx="266">
                  <c:v>1.5861759999999999E-4</c:v>
                </c:pt>
                <c:pt idx="267">
                  <c:v>2.2542109999999999E-4</c:v>
                </c:pt>
                <c:pt idx="268">
                  <c:v>1.7000380000000001E-4</c:v>
                </c:pt>
                <c:pt idx="269">
                  <c:v>1.8959160000000001E-4</c:v>
                </c:pt>
                <c:pt idx="270">
                  <c:v>1.995965E-4</c:v>
                </c:pt>
                <c:pt idx="271">
                  <c:v>1.5252859999999999E-4</c:v>
                </c:pt>
                <c:pt idx="272">
                  <c:v>2.1411330000000001E-4</c:v>
                </c:pt>
                <c:pt idx="273">
                  <c:v>1.436748E-4</c:v>
                </c:pt>
                <c:pt idx="274">
                  <c:v>1.9528629999999999E-4</c:v>
                </c:pt>
                <c:pt idx="275">
                  <c:v>1.656021E-4</c:v>
                </c:pt>
                <c:pt idx="276">
                  <c:v>1.567219E-4</c:v>
                </c:pt>
                <c:pt idx="277">
                  <c:v>1.9206900000000001E-4</c:v>
                </c:pt>
                <c:pt idx="278">
                  <c:v>1.3049519999999999E-4</c:v>
                </c:pt>
                <c:pt idx="279">
                  <c:v>1.933192E-4</c:v>
                </c:pt>
                <c:pt idx="280">
                  <c:v>1.3647989999999999E-4</c:v>
                </c:pt>
                <c:pt idx="281">
                  <c:v>1.6430350000000001E-4</c:v>
                </c:pt>
                <c:pt idx="282">
                  <c:v>1.6372040000000001E-4</c:v>
                </c:pt>
                <c:pt idx="283">
                  <c:v>1.290071E-4</c:v>
                </c:pt>
                <c:pt idx="284">
                  <c:v>1.8143710000000001E-4</c:v>
                </c:pt>
                <c:pt idx="285">
                  <c:v>1.170132E-4</c:v>
                </c:pt>
                <c:pt idx="286">
                  <c:v>1.688064E-4</c:v>
                </c:pt>
                <c:pt idx="287">
                  <c:v>1.3509319999999999E-4</c:v>
                </c:pt>
                <c:pt idx="288">
                  <c:v>1.3469919999999999E-4</c:v>
                </c:pt>
                <c:pt idx="289">
                  <c:v>1.6114379999999999E-4</c:v>
                </c:pt>
                <c:pt idx="290">
                  <c:v>1.085624E-4</c:v>
                </c:pt>
                <c:pt idx="291">
                  <c:v>1.660523E-4</c:v>
                </c:pt>
                <c:pt idx="292">
                  <c:v>1.116116E-4</c:v>
                </c:pt>
                <c:pt idx="293">
                  <c:v>1.4192520000000001E-4</c:v>
                </c:pt>
                <c:pt idx="294">
                  <c:v>1.3647290000000001E-4</c:v>
                </c:pt>
                <c:pt idx="295">
                  <c:v>1.0930240000000001E-4</c:v>
                </c:pt>
                <c:pt idx="296">
                  <c:v>1.5491999999999999E-4</c:v>
                </c:pt>
                <c:pt idx="297">
                  <c:v>9.6614350000000004E-5</c:v>
                </c:pt>
                <c:pt idx="298">
                  <c:v>1.45754E-4</c:v>
                </c:pt>
                <c:pt idx="299">
                  <c:v>1.12317E-4</c:v>
                </c:pt>
                <c:pt idx="300">
                  <c:v>1.1533229999999999E-4</c:v>
                </c:pt>
                <c:pt idx="301">
                  <c:v>1.370461E-4</c:v>
                </c:pt>
                <c:pt idx="302">
                  <c:v>9.0761500000000002E-5</c:v>
                </c:pt>
                <c:pt idx="303">
                  <c:v>1.431754E-4</c:v>
                </c:pt>
                <c:pt idx="304">
                  <c:v>9.2868049999999996E-5</c:v>
                </c:pt>
                <c:pt idx="305">
                  <c:v>1.221122E-4</c:v>
                </c:pt>
                <c:pt idx="306">
                  <c:v>1.158443E-4</c:v>
                </c:pt>
                <c:pt idx="307">
                  <c:v>9.2349089999999999E-5</c:v>
                </c:pt>
                <c:pt idx="308">
                  <c:v>1.335459E-4</c:v>
                </c:pt>
                <c:pt idx="309">
                  <c:v>8.0618079999999998E-5</c:v>
                </c:pt>
                <c:pt idx="310">
                  <c:v>1.2577589999999999E-4</c:v>
                </c:pt>
                <c:pt idx="311">
                  <c:v>9.524868E-5</c:v>
                </c:pt>
                <c:pt idx="312">
                  <c:v>9.8159110000000001E-5</c:v>
                </c:pt>
                <c:pt idx="313">
                  <c:v>1.183011E-4</c:v>
                </c:pt>
                <c:pt idx="314">
                  <c:v>7.5993479999999995E-5</c:v>
                </c:pt>
                <c:pt idx="315">
                  <c:v>1.239871E-4</c:v>
                </c:pt>
                <c:pt idx="316">
                  <c:v>7.8610249999999998E-5</c:v>
                </c:pt>
                <c:pt idx="317">
                  <c:v>1.045501E-4</c:v>
                </c:pt>
                <c:pt idx="318">
                  <c:v>1.002093E-4</c:v>
                </c:pt>
                <c:pt idx="319">
                  <c:v>7.7607340000000001E-5</c:v>
                </c:pt>
                <c:pt idx="320">
                  <c:v>1.162348E-4</c:v>
                </c:pt>
                <c:pt idx="321">
                  <c:v>6.7940699999999998E-5</c:v>
                </c:pt>
                <c:pt idx="322">
                  <c:v>1.083906E-4</c:v>
                </c:pt>
                <c:pt idx="323">
                  <c:v>8.245312E-5</c:v>
                </c:pt>
                <c:pt idx="324">
                  <c:v>8.2899049999999997E-5</c:v>
                </c:pt>
                <c:pt idx="325">
                  <c:v>1.036216E-4</c:v>
                </c:pt>
                <c:pt idx="326">
                  <c:v>6.3673870000000005E-5</c:v>
                </c:pt>
                <c:pt idx="327">
                  <c:v>1.077226E-4</c:v>
                </c:pt>
                <c:pt idx="328">
                  <c:v>6.7779679999999996E-5</c:v>
                </c:pt>
                <c:pt idx="329">
                  <c:v>8.8929380000000001E-5</c:v>
                </c:pt>
                <c:pt idx="330">
                  <c:v>8.8323580000000001E-5</c:v>
                </c:pt>
                <c:pt idx="331">
                  <c:v>6.4806040000000005E-5</c:v>
                </c:pt>
                <c:pt idx="332">
                  <c:v>1.0199429999999999E-4</c:v>
                </c:pt>
                <c:pt idx="333">
                  <c:v>5.794934E-5</c:v>
                </c:pt>
                <c:pt idx="334">
                  <c:v>9.3100549999999998E-5</c:v>
                </c:pt>
                <c:pt idx="335">
                  <c:v>7.2904550000000003E-5</c:v>
                </c:pt>
                <c:pt idx="336">
                  <c:v>6.936077E-5</c:v>
                </c:pt>
                <c:pt idx="337">
                  <c:v>9.194033E-5</c:v>
                </c:pt>
                <c:pt idx="338">
                  <c:v>5.3497990000000001E-5</c:v>
                </c:pt>
                <c:pt idx="339">
                  <c:v>9.3667029999999998E-5</c:v>
                </c:pt>
                <c:pt idx="340">
                  <c:v>5.967587E-5</c:v>
                </c:pt>
                <c:pt idx="341">
                  <c:v>7.4980899999999999E-5</c:v>
                </c:pt>
                <c:pt idx="342">
                  <c:v>7.9200840000000005E-5</c:v>
                </c:pt>
                <c:pt idx="343">
                  <c:v>5.3811709999999999E-5</c:v>
                </c:pt>
                <c:pt idx="344">
                  <c:v>8.9966440000000003E-5</c:v>
                </c:pt>
                <c:pt idx="345">
                  <c:v>5.0247929999999999E-5</c:v>
                </c:pt>
                <c:pt idx="346">
                  <c:v>7.9466469999999993E-5</c:v>
                </c:pt>
                <c:pt idx="347">
                  <c:v>6.5825549999999999E-5</c:v>
                </c:pt>
                <c:pt idx="348">
                  <c:v>5.7436860000000003E-5</c:v>
                </c:pt>
                <c:pt idx="349">
                  <c:v>8.2367409999999994E-5</c:v>
                </c:pt>
                <c:pt idx="350">
                  <c:v>4.5301589999999999E-5</c:v>
                </c:pt>
                <c:pt idx="351">
                  <c:v>8.1217869999999998E-5</c:v>
                </c:pt>
                <c:pt idx="352">
                  <c:v>5.377704E-5</c:v>
                </c:pt>
                <c:pt idx="353">
                  <c:v>6.2504510000000005E-5</c:v>
                </c:pt>
                <c:pt idx="354">
                  <c:v>7.2037780000000002E-5</c:v>
                </c:pt>
                <c:pt idx="355">
                  <c:v>4.4579580000000001E-5</c:v>
                </c:pt>
                <c:pt idx="356">
                  <c:v>7.9439100000000003E-5</c:v>
                </c:pt>
                <c:pt idx="357">
                  <c:v>4.4560220000000002E-5</c:v>
                </c:pt>
                <c:pt idx="358">
                  <c:v>6.7157710000000003E-5</c:v>
                </c:pt>
                <c:pt idx="359">
                  <c:v>6.0579129999999999E-5</c:v>
                </c:pt>
                <c:pt idx="360">
                  <c:v>4.7092000000000002E-5</c:v>
                </c:pt>
                <c:pt idx="361">
                  <c:v>7.4176279999999995E-5</c:v>
                </c:pt>
                <c:pt idx="362">
                  <c:v>3.8983109999999997E-5</c:v>
                </c:pt>
                <c:pt idx="363">
                  <c:v>6.9910749999999998E-5</c:v>
                </c:pt>
                <c:pt idx="364">
                  <c:v>4.9648870000000003E-5</c:v>
                </c:pt>
                <c:pt idx="365">
                  <c:v>5.1407260000000002E-5</c:v>
                </c:pt>
                <c:pt idx="366">
                  <c:v>6.6169019999999998E-5</c:v>
                </c:pt>
                <c:pt idx="367">
                  <c:v>3.7107709999999998E-5</c:v>
                </c:pt>
                <c:pt idx="368">
                  <c:v>6.9861679999999994E-5</c:v>
                </c:pt>
                <c:pt idx="369">
                  <c:v>4.0633339999999999E-5</c:v>
                </c:pt>
                <c:pt idx="370">
                  <c:v>5.5976320000000003E-5</c:v>
                </c:pt>
                <c:pt idx="371">
                  <c:v>5.6612359999999997E-5</c:v>
                </c:pt>
                <c:pt idx="372">
                  <c:v>3.8352809999999997E-5</c:v>
                </c:pt>
                <c:pt idx="373">
                  <c:v>6.6773350000000003E-5</c:v>
                </c:pt>
                <c:pt idx="374">
                  <c:v>3.4441479999999997E-5</c:v>
                </c:pt>
                <c:pt idx="375">
                  <c:v>5.9442820000000001E-5</c:v>
                </c:pt>
                <c:pt idx="376">
                  <c:v>4.6868700000000001E-5</c:v>
                </c:pt>
                <c:pt idx="377">
                  <c:v>4.1683829999999998E-5</c:v>
                </c:pt>
                <c:pt idx="378">
                  <c:v>6.1012109999999999E-5</c:v>
                </c:pt>
                <c:pt idx="379">
                  <c:v>3.139974E-5</c:v>
                </c:pt>
                <c:pt idx="380">
                  <c:v>6.0839789999999999E-5</c:v>
                </c:pt>
                <c:pt idx="381">
                  <c:v>3.8189360000000001E-5</c:v>
                </c:pt>
                <c:pt idx="382">
                  <c:v>4.5860170000000003E-5</c:v>
                </c:pt>
                <c:pt idx="383">
                  <c:v>5.3400409999999999E-5</c:v>
                </c:pt>
                <c:pt idx="384">
                  <c:v>3.1280949999999997E-5</c:v>
                </c:pt>
                <c:pt idx="385">
                  <c:v>5.9704840000000001E-5</c:v>
                </c:pt>
                <c:pt idx="386">
                  <c:v>3.1535629999999999E-5</c:v>
                </c:pt>
                <c:pt idx="387">
                  <c:v>4.967305E-5</c:v>
                </c:pt>
                <c:pt idx="388">
                  <c:v>4.4996449999999998E-5</c:v>
                </c:pt>
                <c:pt idx="389">
                  <c:v>3.34161E-5</c:v>
                </c:pt>
                <c:pt idx="390">
                  <c:v>5.6083789999999999E-5</c:v>
                </c:pt>
                <c:pt idx="391">
                  <c:v>2.7427210000000001E-5</c:v>
                </c:pt>
                <c:pt idx="392">
                  <c:v>5.2149569999999997E-5</c:v>
                </c:pt>
                <c:pt idx="393">
                  <c:v>3.6896729999999997E-5</c:v>
                </c:pt>
                <c:pt idx="394">
                  <c:v>3.6867789999999999E-5</c:v>
                </c:pt>
                <c:pt idx="395">
                  <c:v>5.0455119999999999E-5</c:v>
                </c:pt>
                <c:pt idx="396">
                  <c:v>2.5935299999999999E-5</c:v>
                </c:pt>
                <c:pt idx="397">
                  <c:v>5.2665440000000002E-5</c:v>
                </c:pt>
                <c:pt idx="398">
                  <c:v>3.0043010000000001E-5</c:v>
                </c:pt>
                <c:pt idx="399">
                  <c:v>4.0615870000000003E-5</c:v>
                </c:pt>
                <c:pt idx="400">
                  <c:v>4.3579089999999997E-5</c:v>
                </c:pt>
                <c:pt idx="401">
                  <c:v>2.672254E-5</c:v>
                </c:pt>
                <c:pt idx="402">
                  <c:v>5.1007929999999999E-5</c:v>
                </c:pt>
                <c:pt idx="403">
                  <c:v>2.508634E-5</c:v>
                </c:pt>
                <c:pt idx="404">
                  <c:v>4.373577E-5</c:v>
                </c:pt>
                <c:pt idx="405">
                  <c:v>3.6357589999999998E-5</c:v>
                </c:pt>
                <c:pt idx="406">
                  <c:v>2.9150640000000001E-5</c:v>
                </c:pt>
                <c:pt idx="407">
                  <c:v>4.7347369999999998E-5</c:v>
                </c:pt>
                <c:pt idx="408">
                  <c:v>2.2326869999999999E-5</c:v>
                </c:pt>
                <c:pt idx="409">
                  <c:v>4.5514299999999999E-5</c:v>
                </c:pt>
                <c:pt idx="410">
                  <c:v>2.965219E-5</c:v>
                </c:pt>
                <c:pt idx="411">
                  <c:v>3.241732E-5</c:v>
                </c:pt>
                <c:pt idx="412">
                  <c:v>4.2160850000000001E-5</c:v>
                </c:pt>
                <c:pt idx="413">
                  <c:v>2.1714800000000001E-5</c:v>
                </c:pt>
                <c:pt idx="414">
                  <c:v>4.5548840000000003E-5</c:v>
                </c:pt>
                <c:pt idx="415">
                  <c:v>2.4170050000000001E-5</c:v>
                </c:pt>
                <c:pt idx="416">
                  <c:v>3.5701919999999999E-5</c:v>
                </c:pt>
                <c:pt idx="417">
                  <c:v>3.6115980000000003E-5</c:v>
                </c:pt>
                <c:pt idx="418">
                  <c:v>2.289728E-5</c:v>
                </c:pt>
                <c:pt idx="419">
                  <c:v>4.3751670000000001E-5</c:v>
                </c:pt>
                <c:pt idx="420">
                  <c:v>2.0372649999999999E-5</c:v>
                </c:pt>
                <c:pt idx="421">
                  <c:v>3.8281899999999997E-5</c:v>
                </c:pt>
                <c:pt idx="422">
                  <c:v>2.99502E-5</c:v>
                </c:pt>
                <c:pt idx="423">
                  <c:v>2.5309069999999999E-5</c:v>
                </c:pt>
                <c:pt idx="424">
                  <c:v>4.0329910000000002E-5</c:v>
                </c:pt>
                <c:pt idx="425">
                  <c:v>1.8440189999999999E-5</c:v>
                </c:pt>
                <c:pt idx="426">
                  <c:v>3.9632609999999998E-5</c:v>
                </c:pt>
                <c:pt idx="427">
                  <c:v>2.4350560000000001E-5</c:v>
                </c:pt>
                <c:pt idx="428">
                  <c:v>2.8286350000000001E-5</c:v>
                </c:pt>
                <c:pt idx="429">
                  <c:v>3.5713149999999999E-5</c:v>
                </c:pt>
                <c:pt idx="430">
                  <c:v>1.827635E-5</c:v>
                </c:pt>
                <c:pt idx="431">
                  <c:v>3.9472859999999997E-5</c:v>
                </c:pt>
                <c:pt idx="432">
                  <c:v>1.9862119999999999E-5</c:v>
                </c:pt>
                <c:pt idx="433">
                  <c:v>3.1160729999999997E-5</c:v>
                </c:pt>
                <c:pt idx="434">
                  <c:v>3.0466519999999998E-5</c:v>
                </c:pt>
                <c:pt idx="435">
                  <c:v>1.9558480000000001E-5</c:v>
                </c:pt>
                <c:pt idx="436">
                  <c:v>3.7772009999999998E-5</c:v>
                </c:pt>
                <c:pt idx="437">
                  <c:v>1.682836E-5</c:v>
                </c:pt>
                <c:pt idx="438">
                  <c:v>3.3364970000000001E-5</c:v>
                </c:pt>
                <c:pt idx="439">
                  <c:v>2.519052E-5</c:v>
                </c:pt>
                <c:pt idx="440">
                  <c:v>2.1808059999999999E-5</c:v>
                </c:pt>
                <c:pt idx="441">
                  <c:v>3.472902E-5</c:v>
                </c:pt>
                <c:pt idx="442">
                  <c:v>1.5367500000000002E-5</c:v>
                </c:pt>
                <c:pt idx="443">
                  <c:v>3.4490689999999998E-5</c:v>
                </c:pt>
                <c:pt idx="444">
                  <c:v>2.0444220000000001E-5</c:v>
                </c:pt>
                <c:pt idx="445">
                  <c:v>2.4475349999999999E-5</c:v>
                </c:pt>
                <c:pt idx="446">
                  <c:v>3.070997E-5</c:v>
                </c:pt>
                <c:pt idx="447">
                  <c:v>1.538176E-5</c:v>
                </c:pt>
                <c:pt idx="448">
                  <c:v>3.4324479999999998E-5</c:v>
                </c:pt>
                <c:pt idx="449">
                  <c:v>1.6659780000000001E-5</c:v>
                </c:pt>
                <c:pt idx="450">
                  <c:v>2.7016360000000002E-5</c:v>
                </c:pt>
                <c:pt idx="451">
                  <c:v>2.6183460000000002E-5</c:v>
                </c:pt>
                <c:pt idx="452">
                  <c:v>1.659563E-5</c:v>
                </c:pt>
                <c:pt idx="453">
                  <c:v>3.2855809999999999E-5</c:v>
                </c:pt>
                <c:pt idx="454">
                  <c:v>1.410939E-5</c:v>
                </c:pt>
                <c:pt idx="455">
                  <c:v>2.8973639999999999E-5</c:v>
                </c:pt>
                <c:pt idx="456">
                  <c:v>2.1647870000000001E-5</c:v>
                </c:pt>
                <c:pt idx="457">
                  <c:v>1.8614009999999999E-5</c:v>
                </c:pt>
                <c:pt idx="458">
                  <c:v>3.025247E-5</c:v>
                </c:pt>
                <c:pt idx="459">
                  <c:v>1.288619E-5</c:v>
                </c:pt>
                <c:pt idx="460">
                  <c:v>3.0011530000000001E-5</c:v>
                </c:pt>
                <c:pt idx="461">
                  <c:v>1.7554299999999999E-5</c:v>
                </c:pt>
                <c:pt idx="462">
                  <c:v>2.098447E-5</c:v>
                </c:pt>
                <c:pt idx="463">
                  <c:v>2.6814979999999999E-5</c:v>
                </c:pt>
                <c:pt idx="464">
                  <c:v>1.2911659999999999E-5</c:v>
                </c:pt>
                <c:pt idx="465">
                  <c:v>2.995461E-5</c:v>
                </c:pt>
                <c:pt idx="466">
                  <c:v>1.426248E-5</c:v>
                </c:pt>
                <c:pt idx="467">
                  <c:v>2.3261560000000002E-5</c:v>
                </c:pt>
                <c:pt idx="468">
                  <c:v>2.2928649999999999E-5</c:v>
                </c:pt>
                <c:pt idx="469">
                  <c:v>1.3963499999999999E-5</c:v>
                </c:pt>
                <c:pt idx="470">
                  <c:v>2.8788220000000001E-5</c:v>
                </c:pt>
                <c:pt idx="471">
                  <c:v>1.200636E-5</c:v>
                </c:pt>
                <c:pt idx="472">
                  <c:v>2.5059399999999999E-5</c:v>
                </c:pt>
                <c:pt idx="473">
                  <c:v>1.900372E-5</c:v>
                </c:pt>
                <c:pt idx="474">
                  <c:v>1.5722120000000001E-5</c:v>
                </c:pt>
                <c:pt idx="475">
                  <c:v>2.6640320000000001E-5</c:v>
                </c:pt>
                <c:pt idx="476">
                  <c:v>1.08718E-5</c:v>
                </c:pt>
                <c:pt idx="477">
                  <c:v>2.6095229999999999E-5</c:v>
                </c:pt>
                <c:pt idx="478">
                  <c:v>1.5415799999999999E-5</c:v>
                </c:pt>
                <c:pt idx="479">
                  <c:v>1.781386E-5</c:v>
                </c:pt>
                <c:pt idx="480">
                  <c:v>2.3753019999999999E-5</c:v>
                </c:pt>
                <c:pt idx="481">
                  <c:v>1.080748E-5</c:v>
                </c:pt>
                <c:pt idx="482">
                  <c:v>2.621076E-5</c:v>
                </c:pt>
                <c:pt idx="483">
                  <c:v>1.247696E-5</c:v>
                </c:pt>
                <c:pt idx="484">
                  <c:v>1.986873E-5</c:v>
                </c:pt>
                <c:pt idx="485">
                  <c:v>2.0435690000000001E-5</c:v>
                </c:pt>
                <c:pt idx="486">
                  <c:v>1.164392E-5</c:v>
                </c:pt>
                <c:pt idx="487">
                  <c:v>2.5375119999999998E-5</c:v>
                </c:pt>
                <c:pt idx="488">
                  <c:v>1.039273E-5</c:v>
                </c:pt>
                <c:pt idx="489">
                  <c:v>2.1561049999999999E-5</c:v>
                </c:pt>
                <c:pt idx="490">
                  <c:v>1.7027770000000001E-5</c:v>
                </c:pt>
                <c:pt idx="491">
                  <c:v>1.312523E-5</c:v>
                </c:pt>
                <c:pt idx="492">
                  <c:v>2.3678619999999999E-5</c:v>
                </c:pt>
                <c:pt idx="493">
                  <c:v>9.2536069999999998E-6</c:v>
                </c:pt>
                <c:pt idx="494">
                  <c:v>2.2640659999999999E-5</c:v>
                </c:pt>
                <c:pt idx="495">
                  <c:v>1.384947E-5</c:v>
                </c:pt>
                <c:pt idx="496">
                  <c:v>1.4949850000000001E-5</c:v>
                </c:pt>
                <c:pt idx="497">
                  <c:v>2.1304159999999999E-5</c:v>
                </c:pt>
                <c:pt idx="498">
                  <c:v>9.0399329999999999E-6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E-4F96-96DF-9401B3BD6251}"/>
            </c:ext>
          </c:extLst>
        </c:ser>
        <c:ser>
          <c:idx val="3"/>
          <c:order val="4"/>
          <c:tx>
            <c:strRef>
              <c:f>Tool!$M$4</c:f>
              <c:strCache>
                <c:ptCount val="1"/>
                <c:pt idx="0">
                  <c:v>Theta 1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Tool!$N$4:$N$5</c:f>
              <c:numCache>
                <c:formatCode>General</c:formatCode>
                <c:ptCount val="2"/>
                <c:pt idx="0">
                  <c:v>0.18482541574799483</c:v>
                </c:pt>
                <c:pt idx="1">
                  <c:v>0.18482541574799483</c:v>
                </c:pt>
              </c:numCache>
            </c:numRef>
          </c:xVal>
          <c:yVal>
            <c:numRef>
              <c:f>Tool!$O$4:$O$5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E-4F96-96DF-9401B3BD6251}"/>
            </c:ext>
          </c:extLst>
        </c:ser>
        <c:ser>
          <c:idx val="4"/>
          <c:order val="5"/>
          <c:tx>
            <c:strRef>
              <c:f>Tool!$M$6</c:f>
              <c:strCache>
                <c:ptCount val="1"/>
                <c:pt idx="0">
                  <c:v>Theta 2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Tool!$N$6:$N$7</c:f>
              <c:numCache>
                <c:formatCode>General</c:formatCode>
                <c:ptCount val="2"/>
                <c:pt idx="0">
                  <c:v>0.30155812652542563</c:v>
                </c:pt>
                <c:pt idx="1">
                  <c:v>0.30155812652542563</c:v>
                </c:pt>
              </c:numCache>
            </c:numRef>
          </c:xVal>
          <c:yVal>
            <c:numRef>
              <c:f>Tool!$O$6:$O$7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E-4F96-96DF-9401B3BD6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458856"/>
        <c:axId val="239461600"/>
      </c:scatterChart>
      <c:valAx>
        <c:axId val="239458856"/>
        <c:scaling>
          <c:orientation val="minMax"/>
          <c:max val="0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latin typeface="Symbol" panose="05050102010706020507" pitchFamily="18" charset="2"/>
                  </a:rPr>
                  <a:t>q</a:t>
                </a:r>
                <a:r>
                  <a:rPr lang="es-ES" sz="1400" b="1"/>
                  <a:t> (</a:t>
                </a:r>
                <a:r>
                  <a:rPr lang="es-ES" sz="1400" b="1" baseline="30000"/>
                  <a:t>o</a:t>
                </a:r>
                <a:r>
                  <a:rPr lang="es-ES" sz="1400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9461600"/>
        <c:crosses val="autoZero"/>
        <c:crossBetween val="midCat"/>
      </c:valAx>
      <c:valAx>
        <c:axId val="239461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/>
                  <a:t>XRR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945885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4279308836395452"/>
          <c:y val="0.12213165921827339"/>
          <c:w val="0.21670866141732281"/>
          <c:h val="0.2563831548083516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6</xdr:row>
      <xdr:rowOff>22860</xdr:rowOff>
    </xdr:from>
    <xdr:to>
      <xdr:col>8</xdr:col>
      <xdr:colOff>750570</xdr:colOff>
      <xdr:row>29</xdr:row>
      <xdr:rowOff>45720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ray2834709" connectionId="1" xr16:uid="{00000000-0016-0000-03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3"/>
  <sheetViews>
    <sheetView tabSelected="1" workbookViewId="0">
      <selection activeCell="L15" sqref="L15"/>
    </sheetView>
  </sheetViews>
  <sheetFormatPr baseColWidth="10" defaultRowHeight="15" x14ac:dyDescent="0.25"/>
  <cols>
    <col min="2" max="2" width="9" customWidth="1"/>
    <col min="3" max="3" width="10.5703125" bestFit="1" customWidth="1"/>
    <col min="4" max="7" width="10.5703125" customWidth="1"/>
    <col min="8" max="9" width="15.7109375" customWidth="1"/>
    <col min="10" max="10" width="14.7109375" customWidth="1"/>
    <col min="11" max="11" width="8.5703125" customWidth="1"/>
    <col min="12" max="12" width="4.5703125" customWidth="1"/>
  </cols>
  <sheetData>
    <row r="1" spans="1:15" x14ac:dyDescent="0.25">
      <c r="A1" s="2" t="s">
        <v>21</v>
      </c>
    </row>
    <row r="2" spans="1:15" x14ac:dyDescent="0.25">
      <c r="A2" s="2" t="s">
        <v>20</v>
      </c>
      <c r="B2" t="s">
        <v>0</v>
      </c>
      <c r="C2" t="s">
        <v>1</v>
      </c>
      <c r="K2" t="s">
        <v>2</v>
      </c>
      <c r="L2" t="s">
        <v>3</v>
      </c>
    </row>
    <row r="3" spans="1:15" x14ac:dyDescent="0.25">
      <c r="A3" s="2">
        <v>7.19</v>
      </c>
      <c r="B3" t="s">
        <v>4</v>
      </c>
      <c r="C3" t="s">
        <v>5</v>
      </c>
      <c r="E3" t="s">
        <v>6</v>
      </c>
      <c r="F3" t="s">
        <v>23</v>
      </c>
      <c r="G3" t="s">
        <v>17</v>
      </c>
      <c r="H3" t="s">
        <v>15</v>
      </c>
      <c r="I3" t="s">
        <v>16</v>
      </c>
    </row>
    <row r="4" spans="1:15" x14ac:dyDescent="0.25">
      <c r="A4" s="2" t="s">
        <v>7</v>
      </c>
      <c r="B4">
        <v>0</v>
      </c>
      <c r="C4" t="s">
        <v>18</v>
      </c>
      <c r="E4">
        <f>SIN(B4/180*PI())</f>
        <v>0</v>
      </c>
      <c r="M4" t="s">
        <v>13</v>
      </c>
      <c r="N4">
        <f>ASIN($A$7/($A$5+2*$A$9))*180/PI()</f>
        <v>0.18482541574799483</v>
      </c>
      <c r="O4">
        <v>0</v>
      </c>
    </row>
    <row r="5" spans="1:15" x14ac:dyDescent="0.25">
      <c r="A5" s="2">
        <v>25</v>
      </c>
      <c r="B5" s="1">
        <v>6.0120240000000004E-3</v>
      </c>
      <c r="C5">
        <v>0.99672000000000005</v>
      </c>
      <c r="E5">
        <f>SIN(B5/180*PI())</f>
        <v>1.0492961331636982E-4</v>
      </c>
      <c r="F5" s="1">
        <f>C5*$A$5/$A$7*SIN(B5/180*PI())</f>
        <v>2.6146361046173031E-2</v>
      </c>
      <c r="G5" s="1">
        <f>C5*(1/2+($A$5/(2*$A$7)-$A$9/$A$7)*SIN(B5/180*PI()))</f>
        <v>0.50829561719754579</v>
      </c>
      <c r="H5">
        <f>IF(E5&gt;($A$19),C5,G5)</f>
        <v>0.50829561719754579</v>
      </c>
      <c r="I5">
        <f>IF(E5&lt;($A$17),F5,H5)</f>
        <v>2.6146361046173031E-2</v>
      </c>
      <c r="N5">
        <f>N4</f>
        <v>0.18482541574799483</v>
      </c>
      <c r="O5">
        <v>1</v>
      </c>
    </row>
    <row r="6" spans="1:15" x14ac:dyDescent="0.25">
      <c r="A6" s="2" t="s">
        <v>8</v>
      </c>
      <c r="B6" s="1">
        <v>1.202405E-2</v>
      </c>
      <c r="C6">
        <v>0.993448</v>
      </c>
      <c r="E6">
        <f t="shared" ref="E6:E69" si="0">SIN(B6/180*PI())</f>
        <v>2.0985926038402536E-4</v>
      </c>
      <c r="F6" s="1">
        <f t="shared" ref="F6:F69" si="1">C6*$A$5/$A$7*SIN(B6/180*PI())</f>
        <v>5.2121065627497305E-2</v>
      </c>
      <c r="G6" s="1">
        <f t="shared" ref="G6:G69" si="2">C6*(1/2+($A$5/(2*$A$7)-$A$9/$A$7)*SIN(B6/180*PI()))</f>
        <v>0.51653000493844892</v>
      </c>
      <c r="H6">
        <f>IF(E6&gt;($A$19),C6,G6)</f>
        <v>0.51653000493844892</v>
      </c>
      <c r="I6">
        <f>IF(E6&lt;($A$17),F6,H6)</f>
        <v>5.2121065627497305E-2</v>
      </c>
      <c r="M6" t="s">
        <v>14</v>
      </c>
      <c r="N6">
        <f>ASIN($A$7/($A$5-2*$A$9))*180/PI()</f>
        <v>0.30155812652542563</v>
      </c>
      <c r="O6">
        <v>0</v>
      </c>
    </row>
    <row r="7" spans="1:15" x14ac:dyDescent="0.25">
      <c r="A7" s="2">
        <v>0.1</v>
      </c>
      <c r="B7" s="1">
        <v>1.8036070000000001E-2</v>
      </c>
      <c r="C7">
        <v>0.99018200000000001</v>
      </c>
      <c r="E7">
        <f t="shared" si="0"/>
        <v>3.1478880042133206E-4</v>
      </c>
      <c r="F7" s="1">
        <f t="shared" si="1"/>
        <v>7.792455099469886E-2</v>
      </c>
      <c r="G7" s="1">
        <f t="shared" si="2"/>
        <v>0.52470232937798555</v>
      </c>
      <c r="H7">
        <f>IF(E7&gt;($A$19),C7,G7)</f>
        <v>0.52470232937798555</v>
      </c>
      <c r="I7">
        <f>IF(E7&lt;($A$17),F7,H7)</f>
        <v>7.792455099469886E-2</v>
      </c>
      <c r="N7">
        <f>N6</f>
        <v>0.30155812652542563</v>
      </c>
      <c r="O7">
        <v>1</v>
      </c>
    </row>
    <row r="8" spans="1:15" x14ac:dyDescent="0.25">
      <c r="A8" s="2" t="s">
        <v>9</v>
      </c>
      <c r="B8" s="1">
        <v>2.4048099999999999E-2</v>
      </c>
      <c r="C8">
        <v>0.98691899999999999</v>
      </c>
      <c r="E8">
        <f t="shared" si="0"/>
        <v>4.1971851152565801E-4</v>
      </c>
      <c r="F8" s="1">
        <f t="shared" si="1"/>
        <v>0.10355704341909772</v>
      </c>
      <c r="G8" s="1">
        <f t="shared" si="2"/>
        <v>0.53281117649925713</v>
      </c>
      <c r="H8">
        <f>IF(E8&gt;($A$19),C8,G8)</f>
        <v>0.53281117649925713</v>
      </c>
      <c r="I8">
        <f>IF(E8&lt;($A$17),F8,H8)</f>
        <v>0.10355704341909772</v>
      </c>
    </row>
    <row r="9" spans="1:15" x14ac:dyDescent="0.25">
      <c r="A9" s="2">
        <v>3</v>
      </c>
      <c r="B9" s="1">
        <v>3.0060119999999999E-2</v>
      </c>
      <c r="C9">
        <v>0.983657</v>
      </c>
      <c r="E9">
        <f t="shared" si="0"/>
        <v>5.2464804347587878E-4</v>
      </c>
      <c r="F9" s="1">
        <f t="shared" si="1"/>
        <v>0.12901843012533812</v>
      </c>
      <c r="G9" s="1">
        <f t="shared" si="2"/>
        <v>0.54085550344762845</v>
      </c>
      <c r="H9">
        <f>IF(E9&gt;($A$19),C9,G9)</f>
        <v>0.54085550344762845</v>
      </c>
      <c r="I9">
        <f>IF(E9&lt;($A$17),F9,H9)</f>
        <v>0.12901843012533812</v>
      </c>
    </row>
    <row r="10" spans="1:15" x14ac:dyDescent="0.25">
      <c r="B10" s="1">
        <v>3.6072140000000003E-2</v>
      </c>
      <c r="C10">
        <v>0.98039299999999996</v>
      </c>
      <c r="E10">
        <f t="shared" si="0"/>
        <v>6.2957756964961511E-4</v>
      </c>
      <c r="F10" s="1">
        <f t="shared" si="1"/>
        <v>0.15430836056037375</v>
      </c>
      <c r="G10" s="1">
        <f t="shared" si="2"/>
        <v>0.54883367701294206</v>
      </c>
      <c r="H10">
        <f>IF(E10&gt;($A$19),C10,G10)</f>
        <v>0.54883367701294206</v>
      </c>
      <c r="I10">
        <f>IF(E10&lt;($A$17),F10,H10)</f>
        <v>0.15430836056037375</v>
      </c>
    </row>
    <row r="11" spans="1:15" x14ac:dyDescent="0.25">
      <c r="A11" s="3" t="s">
        <v>22</v>
      </c>
      <c r="B11" s="1">
        <v>4.2084169999999997E-2</v>
      </c>
      <c r="C11">
        <v>0.97712399999999999</v>
      </c>
      <c r="E11">
        <f t="shared" si="0"/>
        <v>7.3450726342444851E-4</v>
      </c>
      <c r="F11" s="1">
        <f t="shared" si="1"/>
        <v>0.17942616881658771</v>
      </c>
      <c r="G11" s="1">
        <f t="shared" si="2"/>
        <v>0.55674394415030326</v>
      </c>
      <c r="H11">
        <f>IF(E11&gt;($A$19),C11,G11)</f>
        <v>0.55674394415030326</v>
      </c>
      <c r="I11">
        <f>IF(E11&lt;($A$17),F11,H11)</f>
        <v>0.17942616881658771</v>
      </c>
    </row>
    <row r="12" spans="1:15" x14ac:dyDescent="0.25">
      <c r="A12" s="3" t="s">
        <v>12</v>
      </c>
      <c r="B12" s="1">
        <v>4.8096189999999997E-2</v>
      </c>
      <c r="C12">
        <v>0.97384899999999996</v>
      </c>
      <c r="E12">
        <f t="shared" si="0"/>
        <v>8.3943677457931295E-4</v>
      </c>
      <c r="F12" s="1">
        <f t="shared" si="1"/>
        <v>0.20437116587182233</v>
      </c>
      <c r="G12" s="1">
        <f t="shared" si="2"/>
        <v>0.56458554303129249</v>
      </c>
      <c r="H12">
        <f>IF(E12&gt;($A$19),C12,G12)</f>
        <v>0.56458554303129249</v>
      </c>
      <c r="I12">
        <f>IF(E12&lt;($A$17),F12,H12)</f>
        <v>0.20437116587182233</v>
      </c>
    </row>
    <row r="13" spans="1:15" x14ac:dyDescent="0.25">
      <c r="A13" s="3">
        <f>A7/A5</f>
        <v>4.0000000000000001E-3</v>
      </c>
      <c r="B13" s="1">
        <v>5.4108209999999997E-2</v>
      </c>
      <c r="C13">
        <v>0.97056399999999998</v>
      </c>
      <c r="E13">
        <f t="shared" si="0"/>
        <v>9.4436627649180285E-4</v>
      </c>
      <c r="F13" s="1">
        <f t="shared" si="1"/>
        <v>0.22914197769424752</v>
      </c>
      <c r="G13" s="1">
        <f t="shared" si="2"/>
        <v>0.57235595152381413</v>
      </c>
      <c r="H13">
        <f>IF(E13&gt;($A$19),C13,G13)</f>
        <v>0.57235595152381413</v>
      </c>
      <c r="I13">
        <f>IF(E13&lt;($A$17),F13,H13)</f>
        <v>0.22914197769424752</v>
      </c>
    </row>
    <row r="14" spans="1:15" x14ac:dyDescent="0.25">
      <c r="A14" s="3" t="s">
        <v>19</v>
      </c>
      <c r="B14" s="1">
        <v>6.0120239999999998E-2</v>
      </c>
      <c r="C14">
        <v>0.96726599999999996</v>
      </c>
      <c r="E14">
        <f t="shared" si="0"/>
        <v>1.0492959425394517E-3</v>
      </c>
      <c r="F14" s="1">
        <f t="shared" si="1"/>
        <v>0.25373707228909126</v>
      </c>
      <c r="G14" s="1">
        <f t="shared" si="2"/>
        <v>0.58005308746985462</v>
      </c>
      <c r="H14">
        <f>IF(E14&gt;($A$19),C14,G14)</f>
        <v>0.58005308746985462</v>
      </c>
      <c r="I14">
        <f>IF(E14&lt;($A$17),F14,H14)</f>
        <v>0.25373707228909126</v>
      </c>
    </row>
    <row r="15" spans="1:15" x14ac:dyDescent="0.25">
      <c r="A15" s="3">
        <f>A9/A7</f>
        <v>30</v>
      </c>
      <c r="B15" s="1">
        <v>6.6132259999999998E-2</v>
      </c>
      <c r="C15">
        <v>0.96395399999999998</v>
      </c>
      <c r="E15">
        <f t="shared" si="0"/>
        <v>1.1542254225012855E-3</v>
      </c>
      <c r="F15" s="1">
        <f t="shared" si="1"/>
        <v>0.27815505323045103</v>
      </c>
      <c r="G15" s="1">
        <f t="shared" si="2"/>
        <v>0.58767592022757142</v>
      </c>
      <c r="H15">
        <f>IF(E15&gt;($A$19),C15,G15)</f>
        <v>0.58767592022757142</v>
      </c>
      <c r="I15">
        <f>IF(E15&lt;($A$17),F15,H15)</f>
        <v>0.27815505323045103</v>
      </c>
    </row>
    <row r="16" spans="1:15" x14ac:dyDescent="0.25">
      <c r="A16" s="3" t="s">
        <v>10</v>
      </c>
      <c r="B16" s="1">
        <v>7.2144280000000005E-2</v>
      </c>
      <c r="C16">
        <v>0.96062400000000003</v>
      </c>
      <c r="E16">
        <f t="shared" si="0"/>
        <v>1.2591548897548561E-3</v>
      </c>
      <c r="F16" s="1">
        <f t="shared" si="1"/>
        <v>0.30239360170396717</v>
      </c>
      <c r="G16" s="1">
        <f t="shared" si="2"/>
        <v>0.59522156864750753</v>
      </c>
      <c r="H16">
        <f>IF(E16&gt;($A$19),C16,G16)</f>
        <v>0.59522156864750753</v>
      </c>
      <c r="I16">
        <f>IF(E16&lt;($A$17),F16,H16)</f>
        <v>0.30239360170396717</v>
      </c>
    </row>
    <row r="17" spans="1:9" x14ac:dyDescent="0.25">
      <c r="A17" s="3">
        <f>A7/(A5+2*A9)</f>
        <v>3.2258064516129032E-3</v>
      </c>
      <c r="B17" s="1">
        <v>7.8156310000000007E-2</v>
      </c>
      <c r="C17">
        <v>0.95727399999999996</v>
      </c>
      <c r="E17">
        <f t="shared" si="0"/>
        <v>1.3640845176776306E-3</v>
      </c>
      <c r="F17" s="1">
        <f t="shared" si="1"/>
        <v>0.32645066064383399</v>
      </c>
      <c r="G17" s="1">
        <f t="shared" si="2"/>
        <v>0.60268825104465695</v>
      </c>
      <c r="H17">
        <f>IF(E17&gt;($A$19),C17,G17)</f>
        <v>0.60268825104465695</v>
      </c>
      <c r="I17">
        <f>IF(E17&lt;($A$17),F17,H17)</f>
        <v>0.32645066064383399</v>
      </c>
    </row>
    <row r="18" spans="1:9" x14ac:dyDescent="0.25">
      <c r="A18" s="3" t="s">
        <v>11</v>
      </c>
      <c r="B18" s="1">
        <v>8.4168339999999994E-2</v>
      </c>
      <c r="C18">
        <v>0.95389999999999997</v>
      </c>
      <c r="E18">
        <f t="shared" si="0"/>
        <v>1.4690141305814992E-3</v>
      </c>
      <c r="F18" s="1">
        <f t="shared" si="1"/>
        <v>0.35032314479042304</v>
      </c>
      <c r="G18" s="1">
        <f t="shared" si="2"/>
        <v>0.61007279502036071</v>
      </c>
      <c r="H18">
        <f>IF(E18&gt;($A$19),C18,G18)</f>
        <v>0.61007279502036071</v>
      </c>
      <c r="I18">
        <f>IF(E18&lt;($A$17),F18,H18)</f>
        <v>0.35032314479042304</v>
      </c>
    </row>
    <row r="19" spans="1:9" x14ac:dyDescent="0.25">
      <c r="A19" s="3">
        <f>A7/(A5-2*A9)</f>
        <v>5.263157894736842E-3</v>
      </c>
      <c r="B19" s="1">
        <v>9.0180360000000001E-2</v>
      </c>
      <c r="C19">
        <v>0.95049899999999998</v>
      </c>
      <c r="E19">
        <f t="shared" si="0"/>
        <v>1.5739435527784525E-3</v>
      </c>
      <c r="F19" s="1">
        <f t="shared" si="1"/>
        <v>0.37400794324309156</v>
      </c>
      <c r="G19" s="1">
        <f t="shared" si="2"/>
        <v>0.61737251843237473</v>
      </c>
      <c r="H19">
        <f>IF(E19&gt;($A$19),C19,G19)</f>
        <v>0.61737251843237473</v>
      </c>
      <c r="I19">
        <f>IF(E19&lt;($A$17),F19,H19)</f>
        <v>0.37400794324309156</v>
      </c>
    </row>
    <row r="20" spans="1:9" x14ac:dyDescent="0.25">
      <c r="B20" s="1">
        <v>9.6192379999999994E-2</v>
      </c>
      <c r="C20">
        <v>0.94706900000000005</v>
      </c>
      <c r="E20">
        <f t="shared" si="0"/>
        <v>1.6788729576459581E-3</v>
      </c>
      <c r="F20" s="1">
        <f t="shared" si="1"/>
        <v>0.39750213328119993</v>
      </c>
      <c r="G20" s="1">
        <f t="shared" si="2"/>
        <v>0.62458531064685596</v>
      </c>
      <c r="H20">
        <f>IF(E20&gt;($A$19),C20,G20)</f>
        <v>0.62458531064685596</v>
      </c>
      <c r="I20">
        <f>IF(E20&lt;($A$17),F20,H20)</f>
        <v>0.39750213328119993</v>
      </c>
    </row>
    <row r="21" spans="1:9" x14ac:dyDescent="0.25">
      <c r="B21">
        <v>0.102204</v>
      </c>
      <c r="C21">
        <v>0.94360500000000003</v>
      </c>
      <c r="E21">
        <f t="shared" si="0"/>
        <v>1.7837953627228204E-3</v>
      </c>
      <c r="F21" s="1">
        <f t="shared" si="1"/>
        <v>0.42079955581051676</v>
      </c>
      <c r="G21" s="1">
        <f t="shared" si="2"/>
        <v>0.63170633120799646</v>
      </c>
      <c r="H21">
        <f>IF(E21&gt;($A$19),C21,G21)</f>
        <v>0.63170633120799646</v>
      </c>
      <c r="I21">
        <f>IF(E21&lt;($A$17),F21,H21)</f>
        <v>0.42079955581051676</v>
      </c>
    </row>
    <row r="22" spans="1:9" x14ac:dyDescent="0.25">
      <c r="B22">
        <v>0.10821600000000001</v>
      </c>
      <c r="C22">
        <v>0.94010499999999997</v>
      </c>
      <c r="E22">
        <f t="shared" si="0"/>
        <v>1.8887243804016642E-3</v>
      </c>
      <c r="F22" s="1">
        <f t="shared" si="1"/>
        <v>0.4438998084093766</v>
      </c>
      <c r="G22" s="1">
        <f t="shared" si="2"/>
        <v>0.63873442719556306</v>
      </c>
      <c r="H22">
        <f>IF(E22&gt;($A$19),C22,G22)</f>
        <v>0.63873442719556306</v>
      </c>
      <c r="I22">
        <f>IF(E22&lt;($A$17),F22,H22)</f>
        <v>0.4438998084093766</v>
      </c>
    </row>
    <row r="23" spans="1:9" x14ac:dyDescent="0.25">
      <c r="B23">
        <v>0.114228</v>
      </c>
      <c r="C23">
        <v>0.93656499999999998</v>
      </c>
      <c r="E23">
        <f t="shared" si="0"/>
        <v>1.9936533772853958E-3</v>
      </c>
      <c r="F23" s="1">
        <f t="shared" si="1"/>
        <v>0.46679649382432414</v>
      </c>
      <c r="G23" s="1">
        <f t="shared" si="2"/>
        <v>0.64566516765324322</v>
      </c>
      <c r="H23">
        <f>IF(E23&gt;($A$19),C23,G23)</f>
        <v>0.64566516765324322</v>
      </c>
      <c r="I23">
        <f>IF(E23&lt;($A$17),F23,H23)</f>
        <v>0.46679649382432414</v>
      </c>
    </row>
    <row r="24" spans="1:9" x14ac:dyDescent="0.25">
      <c r="B24">
        <v>0.12024</v>
      </c>
      <c r="C24">
        <v>0.93298000000000003</v>
      </c>
      <c r="E24">
        <f t="shared" si="0"/>
        <v>2.0985823522187328E-3</v>
      </c>
      <c r="F24" s="1">
        <f t="shared" si="1"/>
        <v>0.48948384074325835</v>
      </c>
      <c r="G24" s="1">
        <f t="shared" si="2"/>
        <v>0.65249385948243821</v>
      </c>
      <c r="H24">
        <f>IF(E24&gt;($A$19),C24,G24)</f>
        <v>0.65249385948243821</v>
      </c>
      <c r="I24">
        <f>IF(E24&lt;($A$17),F24,H24)</f>
        <v>0.48948384074325835</v>
      </c>
    </row>
    <row r="25" spans="1:9" x14ac:dyDescent="0.25">
      <c r="B25">
        <v>0.126253</v>
      </c>
      <c r="C25">
        <v>0.92934700000000003</v>
      </c>
      <c r="E25">
        <f t="shared" si="0"/>
        <v>2.2035287572965408E-3</v>
      </c>
      <c r="F25" s="1">
        <f t="shared" si="1"/>
        <v>0.51196071000181709</v>
      </c>
      <c r="G25" s="1">
        <f t="shared" si="2"/>
        <v>0.65921856980069049</v>
      </c>
      <c r="H25">
        <f>IF(E25&gt;($A$19),C25,G25)</f>
        <v>0.65921856980069049</v>
      </c>
      <c r="I25">
        <f>IF(E25&lt;($A$17),F25,H25)</f>
        <v>0.51196071000181709</v>
      </c>
    </row>
    <row r="26" spans="1:9" x14ac:dyDescent="0.25">
      <c r="B26">
        <v>0.13226499999999999</v>
      </c>
      <c r="C26">
        <v>0.92566199999999998</v>
      </c>
      <c r="E26">
        <f t="shared" si="0"/>
        <v>2.3084576848591103E-3</v>
      </c>
      <c r="F26" s="1">
        <f t="shared" si="1"/>
        <v>0.53421288937051337</v>
      </c>
      <c r="G26" s="1">
        <f t="shared" si="2"/>
        <v>0.66583189796079512</v>
      </c>
      <c r="H26">
        <f>IF(E26&gt;($A$19),C26,G26)</f>
        <v>0.66583189796079512</v>
      </c>
      <c r="I26">
        <f>IF(E26&lt;($A$17),F26,H26)</f>
        <v>0.53421288937051337</v>
      </c>
    </row>
    <row r="27" spans="1:9" x14ac:dyDescent="0.25">
      <c r="B27">
        <v>0.13827700000000001</v>
      </c>
      <c r="C27">
        <v>0.92191999999999996</v>
      </c>
      <c r="E27">
        <f t="shared" si="0"/>
        <v>2.4133865870052478E-3</v>
      </c>
      <c r="F27" s="1">
        <f t="shared" si="1"/>
        <v>0.55623734057296947</v>
      </c>
      <c r="G27" s="1">
        <f t="shared" si="2"/>
        <v>0.67233018941772849</v>
      </c>
      <c r="H27">
        <f>IF(E27&gt;($A$19),C27,G27)</f>
        <v>0.67233018941772849</v>
      </c>
      <c r="I27">
        <f>IF(E27&lt;($A$17),F27,H27)</f>
        <v>0.55623734057296947</v>
      </c>
    </row>
    <row r="28" spans="1:9" x14ac:dyDescent="0.25">
      <c r="B28">
        <v>0.144289</v>
      </c>
      <c r="C28">
        <v>0.91811500000000001</v>
      </c>
      <c r="E28">
        <f t="shared" si="0"/>
        <v>2.5183154625796705E-3</v>
      </c>
      <c r="F28" s="1">
        <f t="shared" si="1"/>
        <v>0.57802580023158345</v>
      </c>
      <c r="G28" s="1">
        <f t="shared" si="2"/>
        <v>0.67870730408800173</v>
      </c>
      <c r="H28">
        <f>IF(E28&gt;($A$19),C28,G28)</f>
        <v>0.67870730408800173</v>
      </c>
      <c r="I28">
        <f>IF(E28&lt;($A$17),F28,H28)</f>
        <v>0.57802580023158345</v>
      </c>
    </row>
    <row r="29" spans="1:9" x14ac:dyDescent="0.25">
      <c r="B29">
        <v>0.15030099999999999</v>
      </c>
      <c r="C29">
        <v>0.91424300000000003</v>
      </c>
      <c r="E29">
        <f t="shared" si="0"/>
        <v>2.6232443104270975E-3</v>
      </c>
      <c r="F29" s="1">
        <f t="shared" si="1"/>
        <v>0.59957068702445016</v>
      </c>
      <c r="G29" s="1">
        <f t="shared" si="2"/>
        <v>0.6849583610692912</v>
      </c>
      <c r="H29">
        <f>IF(E29&gt;($A$19),C29,G29)</f>
        <v>0.6849583610692912</v>
      </c>
      <c r="I29">
        <f>IF(E29&lt;($A$17),F29,H29)</f>
        <v>0.59957068702445016</v>
      </c>
    </row>
    <row r="30" spans="1:9" x14ac:dyDescent="0.25">
      <c r="B30">
        <v>0.15631300000000001</v>
      </c>
      <c r="C30">
        <v>0.91029800000000005</v>
      </c>
      <c r="E30">
        <f t="shared" si="0"/>
        <v>2.7281731293922486E-3</v>
      </c>
      <c r="F30" s="1">
        <f t="shared" si="1"/>
        <v>0.62086263583487633</v>
      </c>
      <c r="G30" s="1">
        <f t="shared" si="2"/>
        <v>0.69107680161725304</v>
      </c>
      <c r="H30">
        <f>IF(E30&gt;($A$19),C30,G30)</f>
        <v>0.69107680161725304</v>
      </c>
      <c r="I30">
        <f>IF(E30&lt;($A$17),F30,H30)</f>
        <v>0.62086263583487633</v>
      </c>
    </row>
    <row r="31" spans="1:9" x14ac:dyDescent="0.25">
      <c r="B31">
        <v>0.162325</v>
      </c>
      <c r="C31">
        <v>0.906273</v>
      </c>
      <c r="E31">
        <f t="shared" si="0"/>
        <v>2.8331019183198427E-3</v>
      </c>
      <c r="F31" s="1">
        <f t="shared" si="1"/>
        <v>0.6418909437053697</v>
      </c>
      <c r="G31" s="1">
        <f t="shared" si="2"/>
        <v>0.69705505860804051</v>
      </c>
      <c r="H31">
        <f>IF(E31&gt;($A$19),C31,G31)</f>
        <v>0.69705505860804051</v>
      </c>
      <c r="I31">
        <f>IF(E31&lt;($A$17),F31,H31)</f>
        <v>0.6418909437053697</v>
      </c>
    </row>
    <row r="32" spans="1:9" x14ac:dyDescent="0.25">
      <c r="B32">
        <v>0.16833699999999999</v>
      </c>
      <c r="C32">
        <v>0.90216200000000002</v>
      </c>
      <c r="E32">
        <f t="shared" si="0"/>
        <v>2.9380306760545998E-3</v>
      </c>
      <c r="F32" s="1">
        <f t="shared" si="1"/>
        <v>0.66264490769269235</v>
      </c>
      <c r="G32" s="1">
        <f t="shared" si="2"/>
        <v>0.70288606492322314</v>
      </c>
      <c r="H32">
        <f>IF(E32&gt;($A$19),C32,G32)</f>
        <v>0.70288606492322314</v>
      </c>
      <c r="I32">
        <f>IF(E32&lt;($A$17),F32,H32)</f>
        <v>0.66264490769269235</v>
      </c>
    </row>
    <row r="33" spans="2:9" x14ac:dyDescent="0.25">
      <c r="B33">
        <v>0.174349</v>
      </c>
      <c r="C33">
        <v>0.89795800000000003</v>
      </c>
      <c r="E33">
        <f t="shared" si="0"/>
        <v>3.0429594014412405E-3</v>
      </c>
      <c r="F33" s="1">
        <f t="shared" si="1"/>
        <v>0.68311243454984338</v>
      </c>
      <c r="G33" s="1">
        <f t="shared" si="2"/>
        <v>0.70856172512894045</v>
      </c>
      <c r="H33">
        <f>IF(E33&gt;($A$19),C33,G33)</f>
        <v>0.70856172512894045</v>
      </c>
      <c r="I33">
        <f>IF(E33&lt;($A$17),F33,H33)</f>
        <v>0.68311243454984338</v>
      </c>
    </row>
    <row r="34" spans="2:9" x14ac:dyDescent="0.25">
      <c r="B34">
        <v>0.18036099999999999</v>
      </c>
      <c r="C34">
        <v>0.89365300000000003</v>
      </c>
      <c r="E34">
        <f t="shared" si="0"/>
        <v>3.1478880933244842E-3</v>
      </c>
      <c r="F34" s="1">
        <f t="shared" si="1"/>
        <v>0.70327990956592634</v>
      </c>
      <c r="G34" s="1">
        <f t="shared" si="2"/>
        <v>0.71407286563505201</v>
      </c>
      <c r="H34">
        <f>IF(E34&gt;($A$19),C34,G34)</f>
        <v>0.71407286563505201</v>
      </c>
      <c r="I34">
        <f>IF(E34&lt;($A$17),F34,H34)</f>
        <v>0.70327990956592634</v>
      </c>
    </row>
    <row r="35" spans="2:9" x14ac:dyDescent="0.25">
      <c r="B35">
        <v>0.18637300000000001</v>
      </c>
      <c r="C35">
        <v>0.88923700000000006</v>
      </c>
      <c r="E35">
        <f t="shared" si="0"/>
        <v>3.2528167505490521E-3</v>
      </c>
      <c r="F35" s="1">
        <f t="shared" si="1"/>
        <v>0.72313125220199692</v>
      </c>
      <c r="G35" s="1">
        <f t="shared" si="2"/>
        <v>0.71940837583675887</v>
      </c>
      <c r="H35">
        <f>IF(E35&gt;($A$19),C35,G35)</f>
        <v>0.71940837583675887</v>
      </c>
      <c r="I35">
        <f>IF(E35&lt;($A$17),F35,H35)</f>
        <v>0.71940837583675887</v>
      </c>
    </row>
    <row r="36" spans="2:9" x14ac:dyDescent="0.25">
      <c r="B36">
        <v>0.192385</v>
      </c>
      <c r="C36">
        <v>0.88470199999999999</v>
      </c>
      <c r="E36">
        <f t="shared" si="0"/>
        <v>3.3577453719596654E-3</v>
      </c>
      <c r="F36" s="1">
        <f t="shared" si="1"/>
        <v>0.74265101151586499</v>
      </c>
      <c r="G36" s="1">
        <f t="shared" si="2"/>
        <v>0.72455838437602871</v>
      </c>
      <c r="H36">
        <f>IF(E36&gt;($A$19),C36,G36)</f>
        <v>0.72455838437602871</v>
      </c>
      <c r="I36">
        <f>IF(E36&lt;($A$17),F36,H36)</f>
        <v>0.72455838437602871</v>
      </c>
    </row>
    <row r="37" spans="2:9" x14ac:dyDescent="0.25">
      <c r="B37">
        <v>0.19839699999999999</v>
      </c>
      <c r="C37">
        <v>0.88003699999999996</v>
      </c>
      <c r="E37">
        <f t="shared" si="0"/>
        <v>3.4626739564010468E-3</v>
      </c>
      <c r="F37" s="1">
        <f t="shared" si="1"/>
        <v>0.76182030014232693</v>
      </c>
      <c r="G37" s="1">
        <f t="shared" si="2"/>
        <v>0.72951021405408423</v>
      </c>
      <c r="H37">
        <f>IF(E37&gt;($A$19),C37,G37)</f>
        <v>0.72951021405408423</v>
      </c>
      <c r="I37">
        <f>IF(E37&lt;($A$17),F37,H37)</f>
        <v>0.72951021405408423</v>
      </c>
    </row>
    <row r="38" spans="2:9" x14ac:dyDescent="0.25">
      <c r="B38">
        <v>0.20440900000000001</v>
      </c>
      <c r="C38">
        <v>0.87522999999999995</v>
      </c>
      <c r="E38">
        <f t="shared" si="0"/>
        <v>3.5676025027179168E-3</v>
      </c>
      <c r="F38" s="1">
        <f t="shared" si="1"/>
        <v>0.78061818461345045</v>
      </c>
      <c r="G38" s="1">
        <f t="shared" si="2"/>
        <v>0.73424991015311114</v>
      </c>
      <c r="H38">
        <f>IF(E38&gt;($A$19),C38,G38)</f>
        <v>0.73424991015311114</v>
      </c>
      <c r="I38">
        <f>IF(E38&lt;($A$17),F38,H38)</f>
        <v>0.73424991015311114</v>
      </c>
    </row>
    <row r="39" spans="2:9" x14ac:dyDescent="0.25">
      <c r="B39">
        <v>0.210421</v>
      </c>
      <c r="C39">
        <v>0.87026800000000004</v>
      </c>
      <c r="E39">
        <f t="shared" si="0"/>
        <v>3.672531009754999E-3</v>
      </c>
      <c r="F39" s="1">
        <f t="shared" si="1"/>
        <v>0.79902155419936594</v>
      </c>
      <c r="G39" s="1">
        <f t="shared" si="2"/>
        <v>0.73876219059575909</v>
      </c>
      <c r="H39">
        <f>IF(E39&gt;($A$19),C39,G39)</f>
        <v>0.73876219059575909</v>
      </c>
      <c r="I39">
        <f>IF(E39&lt;($A$17),F39,H39)</f>
        <v>0.73876219059575909</v>
      </c>
    </row>
    <row r="40" spans="2:9" x14ac:dyDescent="0.25">
      <c r="B40">
        <v>0.21643299999999999</v>
      </c>
      <c r="C40">
        <v>0.86513700000000004</v>
      </c>
      <c r="E40">
        <f t="shared" si="0"/>
        <v>3.777459476357015E-3</v>
      </c>
      <c r="F40" s="1">
        <f t="shared" si="1"/>
        <v>0.81700498974926972</v>
      </c>
      <c r="G40" s="1">
        <f t="shared" si="2"/>
        <v>0.74303039610472255</v>
      </c>
      <c r="H40">
        <f>IF(E40&gt;($A$19),C40,G40)</f>
        <v>0.74303039610472255</v>
      </c>
      <c r="I40">
        <f>IF(E40&lt;($A$17),F40,H40)</f>
        <v>0.74303039610472255</v>
      </c>
    </row>
    <row r="41" spans="2:9" x14ac:dyDescent="0.25">
      <c r="B41">
        <v>0.222445</v>
      </c>
      <c r="C41">
        <v>0.85982099999999995</v>
      </c>
      <c r="E41">
        <f t="shared" si="0"/>
        <v>3.8823879013686895E-3</v>
      </c>
      <c r="F41" s="1">
        <f t="shared" si="1"/>
        <v>0.83453966193568174</v>
      </c>
      <c r="G41" s="1">
        <f t="shared" si="2"/>
        <v>0.74703557153555911</v>
      </c>
      <c r="H41">
        <f>IF(E41&gt;($A$19),C41,G41)</f>
        <v>0.74703557153555911</v>
      </c>
      <c r="I41">
        <f>IF(E41&lt;($A$17),F41,H41)</f>
        <v>0.74703557153555911</v>
      </c>
    </row>
    <row r="42" spans="2:9" x14ac:dyDescent="0.25">
      <c r="B42">
        <v>0.22845699999999999</v>
      </c>
      <c r="C42">
        <v>0.85429999999999995</v>
      </c>
      <c r="E42">
        <f t="shared" si="0"/>
        <v>3.9873162836347462E-3</v>
      </c>
      <c r="F42" s="1">
        <f t="shared" si="1"/>
        <v>0.85159107527729072</v>
      </c>
      <c r="G42" s="1">
        <f t="shared" si="2"/>
        <v>0.75075460860537047</v>
      </c>
      <c r="H42">
        <f>IF(E42&gt;($A$19),C42,G42)</f>
        <v>0.75075460860537047</v>
      </c>
      <c r="I42">
        <f>IF(E42&lt;($A$17),F42,H42)</f>
        <v>0.75075460860537047</v>
      </c>
    </row>
    <row r="43" spans="2:9" x14ac:dyDescent="0.25">
      <c r="B43">
        <v>0.23446900000000001</v>
      </c>
      <c r="C43">
        <v>0.84855599999999998</v>
      </c>
      <c r="E43">
        <f t="shared" si="0"/>
        <v>4.0922446219999083E-3</v>
      </c>
      <c r="F43" s="1">
        <f t="shared" si="1"/>
        <v>0.86812468186643843</v>
      </c>
      <c r="G43" s="1">
        <f t="shared" si="2"/>
        <v>0.75416537910924664</v>
      </c>
      <c r="H43">
        <f>IF(E43&gt;($A$19),C43,G43)</f>
        <v>0.75416537910924664</v>
      </c>
      <c r="I43">
        <f>IF(E43&lt;($A$17),F43,H43)</f>
        <v>0.75416537910924664</v>
      </c>
    </row>
    <row r="44" spans="2:9" x14ac:dyDescent="0.25">
      <c r="B44">
        <v>0.240481</v>
      </c>
      <c r="C44">
        <v>0.84256299999999995</v>
      </c>
      <c r="E44">
        <f t="shared" si="0"/>
        <v>4.1971729153088997E-3</v>
      </c>
      <c r="F44" s="1">
        <f t="shared" si="1"/>
        <v>0.88409565076035301</v>
      </c>
      <c r="G44" s="1">
        <f t="shared" si="2"/>
        <v>0.75723784728893417</v>
      </c>
      <c r="H44">
        <f>IF(E44&gt;($A$19),C44,G44)</f>
        <v>0.75723784728893417</v>
      </c>
      <c r="I44">
        <f>IF(E44&lt;($A$17),F44,H44)</f>
        <v>0.75723784728893417</v>
      </c>
    </row>
    <row r="45" spans="2:9" x14ac:dyDescent="0.25">
      <c r="B45">
        <v>0.24649299999999999</v>
      </c>
      <c r="C45">
        <v>0.83629500000000001</v>
      </c>
      <c r="E45">
        <f t="shared" si="0"/>
        <v>4.3021011624064485E-3</v>
      </c>
      <c r="F45" s="1">
        <f t="shared" si="1"/>
        <v>0.89945642290367533</v>
      </c>
      <c r="G45" s="1">
        <f t="shared" si="2"/>
        <v>0.75994094070339668</v>
      </c>
      <c r="H45">
        <f>IF(E45&gt;($A$19),C45,G45)</f>
        <v>0.75994094070339668</v>
      </c>
      <c r="I45">
        <f>IF(E45&lt;($A$17),F45,H45)</f>
        <v>0.75994094070339668</v>
      </c>
    </row>
    <row r="46" spans="2:9" x14ac:dyDescent="0.25">
      <c r="B46">
        <v>0.25250499999999998</v>
      </c>
      <c r="C46">
        <v>0.82972199999999996</v>
      </c>
      <c r="E46">
        <f t="shared" si="0"/>
        <v>4.4070293621372783E-3</v>
      </c>
      <c r="F46" s="1">
        <f t="shared" si="1"/>
        <v>0.91415230410281667</v>
      </c>
      <c r="G46" s="1">
        <f t="shared" si="2"/>
        <v>0.76223887555907033</v>
      </c>
      <c r="H46">
        <f>IF(E46&gt;($A$19),C46,G46)</f>
        <v>0.76223887555907033</v>
      </c>
      <c r="I46">
        <f>IF(E46&lt;($A$17),F46,H46)</f>
        <v>0.76223887555907033</v>
      </c>
    </row>
    <row r="47" spans="2:9" x14ac:dyDescent="0.25">
      <c r="B47">
        <v>0.258517</v>
      </c>
      <c r="C47">
        <v>0.82280699999999996</v>
      </c>
      <c r="E47">
        <f t="shared" si="0"/>
        <v>4.511957513346117E-3</v>
      </c>
      <c r="F47" s="1">
        <f t="shared" si="1"/>
        <v>0.92811755642094451</v>
      </c>
      <c r="G47" s="1">
        <f t="shared" si="2"/>
        <v>0.764088171439959</v>
      </c>
      <c r="H47">
        <f>IF(E47&gt;($A$19),C47,G47)</f>
        <v>0.764088171439959</v>
      </c>
      <c r="I47">
        <f>IF(E47&lt;($A$17),F47,H47)</f>
        <v>0.764088171439959</v>
      </c>
    </row>
    <row r="48" spans="2:9" x14ac:dyDescent="0.25">
      <c r="B48">
        <v>0.26452900000000001</v>
      </c>
      <c r="C48">
        <v>0.81550800000000001</v>
      </c>
      <c r="E48">
        <f t="shared" si="0"/>
        <v>4.6168856148776907E-3</v>
      </c>
      <c r="F48" s="1">
        <f t="shared" si="1"/>
        <v>0.94127678850441887</v>
      </c>
      <c r="G48" s="1">
        <f t="shared" si="2"/>
        <v>0.76543917963167918</v>
      </c>
      <c r="H48">
        <f>IF(E48&gt;($A$19),C48,G48)</f>
        <v>0.76543917963167918</v>
      </c>
      <c r="I48">
        <f>IF(E48&lt;($A$17),F48,H48)</f>
        <v>0.76543917963167918</v>
      </c>
    </row>
    <row r="49" spans="2:9" x14ac:dyDescent="0.25">
      <c r="B49">
        <v>0.27054099999999998</v>
      </c>
      <c r="C49">
        <v>0.80777600000000005</v>
      </c>
      <c r="E49">
        <f t="shared" si="0"/>
        <v>4.7218136655767249E-3</v>
      </c>
      <c r="F49" s="1">
        <f t="shared" si="1"/>
        <v>0.95354193888122618</v>
      </c>
      <c r="G49" s="1">
        <f t="shared" si="2"/>
        <v>0.76623393677486595</v>
      </c>
      <c r="H49">
        <f>IF(E49&gt;($A$19),C49,G49)</f>
        <v>0.76623393677486595</v>
      </c>
      <c r="I49">
        <f>IF(E49&lt;($A$17),F49,H49)</f>
        <v>0.76623393677486595</v>
      </c>
    </row>
    <row r="50" spans="2:9" x14ac:dyDescent="0.25">
      <c r="B50">
        <v>0.27655299999999999</v>
      </c>
      <c r="C50">
        <v>0.79955399999999999</v>
      </c>
      <c r="E50">
        <f t="shared" si="0"/>
        <v>4.82674166428795E-3</v>
      </c>
      <c r="F50" s="1">
        <f t="shared" si="1"/>
        <v>0.96481015116202185</v>
      </c>
      <c r="G50" s="1">
        <f t="shared" si="2"/>
        <v>0.76640485744156839</v>
      </c>
      <c r="H50">
        <f>IF(E50&gt;($A$19),C50,G50)</f>
        <v>0.76640485744156839</v>
      </c>
      <c r="I50">
        <f>IF(E50&lt;($A$17),F50,H50)</f>
        <v>0.76640485744156839</v>
      </c>
    </row>
    <row r="51" spans="2:9" x14ac:dyDescent="0.25">
      <c r="B51">
        <v>0.28256500000000001</v>
      </c>
      <c r="C51">
        <v>0.790771</v>
      </c>
      <c r="D51" s="1"/>
      <c r="E51">
        <f t="shared" si="0"/>
        <v>4.9316696098560932E-3</v>
      </c>
      <c r="F51" s="1">
        <f t="shared" si="1"/>
        <v>0.97495532726387812</v>
      </c>
      <c r="G51" s="1">
        <f t="shared" si="2"/>
        <v>0.76586852436027364</v>
      </c>
      <c r="H51">
        <f>IF(E51&gt;($A$19),C51,G51)</f>
        <v>0.76586852436027364</v>
      </c>
      <c r="I51">
        <f>IF(E51&lt;($A$17),F51,H51)</f>
        <v>0.76586852436027364</v>
      </c>
    </row>
    <row r="52" spans="2:9" x14ac:dyDescent="0.25">
      <c r="B52">
        <v>0.28857699999999997</v>
      </c>
      <c r="C52">
        <v>0.78134400000000004</v>
      </c>
      <c r="D52" s="1"/>
      <c r="E52">
        <f t="shared" si="0"/>
        <v>5.0365975011258841E-3</v>
      </c>
      <c r="F52" s="1">
        <f t="shared" si="1"/>
        <v>0.98382880947992557</v>
      </c>
      <c r="G52" s="1">
        <f t="shared" si="2"/>
        <v>0.76452694760237183</v>
      </c>
      <c r="H52">
        <f>IF(E52&gt;($A$19),C52,G52)</f>
        <v>0.76452694760237183</v>
      </c>
      <c r="I52">
        <f>IF(E52&lt;($A$17),F52,H52)</f>
        <v>0.76452694760237183</v>
      </c>
    </row>
    <row r="53" spans="2:9" x14ac:dyDescent="0.25">
      <c r="B53">
        <v>0.29458899999999999</v>
      </c>
      <c r="C53">
        <v>0.77117100000000005</v>
      </c>
      <c r="D53" s="1"/>
      <c r="E53">
        <f t="shared" si="0"/>
        <v>5.1415253369420516E-3</v>
      </c>
      <c r="F53" s="1">
        <f t="shared" si="1"/>
        <v>0.99124880890373479</v>
      </c>
      <c r="G53" s="1">
        <f t="shared" si="2"/>
        <v>0.76226004738341924</v>
      </c>
      <c r="H53">
        <f>IF(E53&gt;($A$19),C53,G53)</f>
        <v>0.76226004738341924</v>
      </c>
      <c r="I53">
        <f>IF(E53&lt;($A$17),F53,H53)</f>
        <v>0.76226004738341924</v>
      </c>
    </row>
    <row r="54" spans="2:9" x14ac:dyDescent="0.25">
      <c r="B54">
        <v>0.30060100000000001</v>
      </c>
      <c r="C54">
        <v>0.76012599999999997</v>
      </c>
      <c r="D54" s="1"/>
      <c r="E54">
        <f t="shared" si="0"/>
        <v>5.246453116149327E-3</v>
      </c>
      <c r="F54" s="1">
        <f t="shared" si="1"/>
        <v>0.99699135534153061</v>
      </c>
      <c r="G54" s="1">
        <f t="shared" si="2"/>
        <v>0.75891971502978162</v>
      </c>
      <c r="H54">
        <f>IF(E54&gt;($A$19),C54,G54)</f>
        <v>0.75891971502978162</v>
      </c>
      <c r="I54">
        <f>IF(E54&lt;($A$17),F54,H54)</f>
        <v>0.75891971502978162</v>
      </c>
    </row>
    <row r="55" spans="2:9" x14ac:dyDescent="0.25">
      <c r="B55">
        <v>0.30661300000000002</v>
      </c>
      <c r="C55">
        <v>0.74805299999999997</v>
      </c>
      <c r="D55" s="1"/>
      <c r="E55">
        <f t="shared" si="0"/>
        <v>5.3513808375924409E-3</v>
      </c>
      <c r="F55" s="1">
        <f t="shared" si="1"/>
        <v>1.0007791224258846</v>
      </c>
      <c r="G55" s="1">
        <f t="shared" si="2"/>
        <v>0.75432256652183605</v>
      </c>
      <c r="H55">
        <f>IF(E55&gt;($A$19),C55,G55)</f>
        <v>0.74805299999999997</v>
      </c>
      <c r="I55">
        <f>IF(E55&lt;($A$17),F55,H55)</f>
        <v>0.74805299999999997</v>
      </c>
    </row>
    <row r="56" spans="2:9" x14ac:dyDescent="0.25">
      <c r="B56">
        <v>0.31262499999999999</v>
      </c>
      <c r="C56">
        <v>0.73475299999999999</v>
      </c>
      <c r="D56" s="1"/>
      <c r="E56">
        <f t="shared" si="0"/>
        <v>5.4563085001161239E-3</v>
      </c>
      <c r="F56" s="1">
        <f t="shared" si="1"/>
        <v>1.0022597598464555</v>
      </c>
      <c r="G56" s="1">
        <f t="shared" si="2"/>
        <v>0.74823520874165328</v>
      </c>
      <c r="H56">
        <f>IF(E56&gt;($A$19),C56,G56)</f>
        <v>0.73475299999999999</v>
      </c>
      <c r="I56">
        <f>IF(E56&lt;($A$17),F56,H56)</f>
        <v>0.73475299999999999</v>
      </c>
    </row>
    <row r="57" spans="2:9" x14ac:dyDescent="0.25">
      <c r="B57">
        <v>0.318637</v>
      </c>
      <c r="C57">
        <v>0.71997199999999995</v>
      </c>
      <c r="D57" s="1"/>
      <c r="E57">
        <f t="shared" si="0"/>
        <v>5.5612361025651098E-3</v>
      </c>
      <c r="F57" s="1">
        <f t="shared" si="1"/>
        <v>1.0009835698090017</v>
      </c>
      <c r="G57" s="1">
        <f t="shared" si="2"/>
        <v>0.7403597565274207</v>
      </c>
      <c r="H57">
        <f>IF(E57&gt;($A$19),C57,G57)</f>
        <v>0.71997199999999995</v>
      </c>
      <c r="I57">
        <f>IF(E57&lt;($A$17),F57,H57)</f>
        <v>0.71997199999999995</v>
      </c>
    </row>
    <row r="58" spans="2:9" x14ac:dyDescent="0.25">
      <c r="B58">
        <v>0.32464900000000002</v>
      </c>
      <c r="C58">
        <v>0.70338000000000001</v>
      </c>
      <c r="D58" s="1"/>
      <c r="E58">
        <f t="shared" si="0"/>
        <v>5.6661636437841311E-3</v>
      </c>
      <c r="F58" s="1">
        <f t="shared" si="1"/>
        <v>0.99636654594122043</v>
      </c>
      <c r="G58" s="1">
        <f t="shared" si="2"/>
        <v>0.73030928745766377</v>
      </c>
      <c r="H58">
        <f>IF(E58&gt;($A$19),C58,G58)</f>
        <v>0.70338000000000001</v>
      </c>
      <c r="I58">
        <f>IF(E58&lt;($A$17),F58,H58)</f>
        <v>0.70338000000000001</v>
      </c>
    </row>
    <row r="59" spans="2:9" x14ac:dyDescent="0.25">
      <c r="B59">
        <v>0.33066099999999998</v>
      </c>
      <c r="C59">
        <v>0.68453900000000001</v>
      </c>
      <c r="D59" s="1"/>
      <c r="E59">
        <f t="shared" si="0"/>
        <v>5.7710911226179192E-3</v>
      </c>
      <c r="F59" s="1">
        <f t="shared" si="1"/>
        <v>0.98763423649643689</v>
      </c>
      <c r="G59" s="1">
        <f t="shared" si="2"/>
        <v>0.71757050986864612</v>
      </c>
      <c r="H59">
        <f>IF(E59&gt;($A$19),C59,G59)</f>
        <v>0.68453900000000001</v>
      </c>
      <c r="I59">
        <f>IF(E59&lt;($A$17),F59,H59)</f>
        <v>0.68453900000000001</v>
      </c>
    </row>
    <row r="60" spans="2:9" x14ac:dyDescent="0.25">
      <c r="B60">
        <v>0.336673</v>
      </c>
      <c r="C60">
        <v>0.66286500000000004</v>
      </c>
      <c r="D60" s="1"/>
      <c r="E60">
        <f t="shared" si="0"/>
        <v>5.8760185379112106E-3</v>
      </c>
      <c r="F60" s="1">
        <f t="shared" si="1"/>
        <v>0.97375175703312866</v>
      </c>
      <c r="G60" s="1">
        <f t="shared" si="2"/>
        <v>0.70145816767258895</v>
      </c>
      <c r="H60">
        <f>IF(E60&gt;($A$19),C60,G60)</f>
        <v>0.66286500000000004</v>
      </c>
      <c r="I60">
        <f>IF(E60&lt;($A$17),F60,H60)</f>
        <v>0.66286500000000004</v>
      </c>
    </row>
    <row r="61" spans="2:9" x14ac:dyDescent="0.25">
      <c r="B61">
        <v>0.34268500000000002</v>
      </c>
      <c r="C61">
        <v>0.63756699999999999</v>
      </c>
      <c r="D61" s="1"/>
      <c r="E61">
        <f t="shared" si="0"/>
        <v>5.9809458885087402E-3</v>
      </c>
      <c r="F61" s="1">
        <f t="shared" si="1"/>
        <v>0.95331343182471295</v>
      </c>
      <c r="G61" s="1">
        <f t="shared" si="2"/>
        <v>0.6810426040933909</v>
      </c>
      <c r="H61">
        <f>IF(E61&gt;($A$19),C61,G61)</f>
        <v>0.63756699999999999</v>
      </c>
      <c r="I61">
        <f>IF(E61&lt;($A$17),F61,H61)</f>
        <v>0.63756699999999999</v>
      </c>
    </row>
    <row r="62" spans="2:9" x14ac:dyDescent="0.25">
      <c r="B62">
        <v>0.34869699999999998</v>
      </c>
      <c r="C62">
        <v>0.60758900000000005</v>
      </c>
      <c r="D62" s="1"/>
      <c r="E62">
        <f t="shared" si="0"/>
        <v>6.0858731732552412E-3</v>
      </c>
      <c r="F62" s="1">
        <f t="shared" si="1"/>
        <v>0.92442739886624481</v>
      </c>
      <c r="G62" s="1">
        <f t="shared" si="2"/>
        <v>0.65507691156917303</v>
      </c>
      <c r="H62">
        <f>IF(E62&gt;($A$19),C62,G62)</f>
        <v>0.60758900000000005</v>
      </c>
      <c r="I62">
        <f>IF(E62&lt;($A$17),F62,H62)</f>
        <v>0.60758900000000005</v>
      </c>
    </row>
    <row r="63" spans="2:9" x14ac:dyDescent="0.25">
      <c r="B63">
        <v>0.354709</v>
      </c>
      <c r="C63">
        <v>0.57159199999999999</v>
      </c>
      <c r="D63" s="1"/>
      <c r="E63">
        <f t="shared" si="0"/>
        <v>6.1908003909954528E-3</v>
      </c>
      <c r="F63" s="1">
        <f t="shared" si="1"/>
        <v>0.88465299427246824</v>
      </c>
      <c r="G63" s="1">
        <f t="shared" si="2"/>
        <v>0.62196413782353788</v>
      </c>
      <c r="H63">
        <f>IF(E63&gt;($A$19),C63,G63)</f>
        <v>0.57159199999999999</v>
      </c>
      <c r="I63">
        <f>IF(E63&lt;($A$17),F63,H63)</f>
        <v>0.57159199999999999</v>
      </c>
    </row>
    <row r="64" spans="2:9" x14ac:dyDescent="0.25">
      <c r="B64">
        <v>0.36072100000000001</v>
      </c>
      <c r="C64">
        <v>0.52814099999999997</v>
      </c>
      <c r="D64" s="1"/>
      <c r="E64">
        <f t="shared" si="0"/>
        <v>6.2957275405741125E-3</v>
      </c>
      <c r="F64" s="1">
        <f t="shared" si="1"/>
        <v>0.831257959751588</v>
      </c>
      <c r="G64" s="1">
        <f t="shared" si="2"/>
        <v>0.57994852470560354</v>
      </c>
      <c r="H64">
        <f>IF(E64&gt;($A$19),C64,G64)</f>
        <v>0.52814099999999997</v>
      </c>
      <c r="I64">
        <f>IF(E64&lt;($A$17),F64,H64)</f>
        <v>0.52814099999999997</v>
      </c>
    </row>
    <row r="65" spans="2:9" x14ac:dyDescent="0.25">
      <c r="B65">
        <v>0.36673299999999998</v>
      </c>
      <c r="C65">
        <v>0.476545</v>
      </c>
      <c r="D65" s="1"/>
      <c r="E65">
        <f t="shared" si="0"/>
        <v>6.4006546208359534E-3</v>
      </c>
      <c r="F65" s="1">
        <f t="shared" si="1"/>
        <v>0.76254998907156724</v>
      </c>
      <c r="G65" s="1">
        <f t="shared" si="2"/>
        <v>0.52804149584719562</v>
      </c>
      <c r="H65">
        <f>IF(E65&gt;($A$19),C65,G65)</f>
        <v>0.476545</v>
      </c>
      <c r="I65">
        <f>IF(E65&lt;($A$17),F65,H65)</f>
        <v>0.476545</v>
      </c>
    </row>
    <row r="66" spans="2:9" x14ac:dyDescent="0.25">
      <c r="B66">
        <v>0.37274499999999999</v>
      </c>
      <c r="C66">
        <v>0.41864000000000001</v>
      </c>
      <c r="D66" s="1"/>
      <c r="E66">
        <f t="shared" si="0"/>
        <v>6.5055816306257182E-3</v>
      </c>
      <c r="F66" s="1">
        <f t="shared" si="1"/>
        <v>0.68087417346128776</v>
      </c>
      <c r="G66" s="1">
        <f t="shared" si="2"/>
        <v>0.4680521859152893</v>
      </c>
      <c r="H66">
        <f>IF(E66&gt;($A$19),C66,G66)</f>
        <v>0.41864000000000001</v>
      </c>
      <c r="I66">
        <f>IF(E66&lt;($A$17),F66,H66)</f>
        <v>0.41864000000000001</v>
      </c>
    </row>
    <row r="67" spans="2:9" x14ac:dyDescent="0.25">
      <c r="B67">
        <v>0.37875799999999998</v>
      </c>
      <c r="C67">
        <v>0.35982199999999998</v>
      </c>
      <c r="D67" s="1"/>
      <c r="E67">
        <f t="shared" si="0"/>
        <v>6.6105260216993179E-3</v>
      </c>
      <c r="F67" s="1">
        <f t="shared" si="1"/>
        <v>0.59465317354497294</v>
      </c>
      <c r="G67" s="1">
        <f t="shared" si="2"/>
        <v>0.40587920594708976</v>
      </c>
      <c r="H67">
        <f>IF(E67&gt;($A$19),C67,G67)</f>
        <v>0.35982199999999998</v>
      </c>
      <c r="I67">
        <f>IF(E67&lt;($A$17),F67,H67)</f>
        <v>0.35982199999999998</v>
      </c>
    </row>
    <row r="68" spans="2:9" x14ac:dyDescent="0.25">
      <c r="B68">
        <v>0.38477</v>
      </c>
      <c r="C68">
        <v>0.30621199999999998</v>
      </c>
      <c r="D68" s="1"/>
      <c r="E68">
        <f t="shared" si="0"/>
        <v>6.7154528870669444E-3</v>
      </c>
      <c r="F68" s="1">
        <f t="shared" si="1"/>
        <v>0.51408806486363579</v>
      </c>
      <c r="G68" s="1">
        <f t="shared" si="2"/>
        <v>0.34845946464818156</v>
      </c>
      <c r="H68">
        <f>IF(E68&gt;($A$19),C68,G68)</f>
        <v>0.30621199999999998</v>
      </c>
      <c r="I68">
        <f>IF(E68&lt;($A$17),F68,H68)</f>
        <v>0.30621199999999998</v>
      </c>
    </row>
    <row r="69" spans="2:9" x14ac:dyDescent="0.25">
      <c r="B69">
        <v>0.39078200000000002</v>
      </c>
      <c r="C69">
        <v>0.26087100000000002</v>
      </c>
      <c r="D69" s="1"/>
      <c r="E69">
        <f t="shared" si="0"/>
        <v>6.8203796784965243E-3</v>
      </c>
      <c r="F69" s="1">
        <f t="shared" si="1"/>
        <v>0.44480981677726678</v>
      </c>
      <c r="G69" s="1">
        <f t="shared" si="2"/>
        <v>0.29946323037536138</v>
      </c>
      <c r="H69">
        <f t="shared" ref="H69:H132" si="3">IF(E69&gt;($A$19),C69,G69)</f>
        <v>0.26087100000000002</v>
      </c>
      <c r="I69">
        <f>IF(E69&lt;($A$17),F69,H69)</f>
        <v>0.26087100000000002</v>
      </c>
    </row>
    <row r="70" spans="2:9" x14ac:dyDescent="0.25">
      <c r="B70">
        <v>0.39679399999999998</v>
      </c>
      <c r="C70">
        <v>0.22378000000000001</v>
      </c>
      <c r="D70" s="1"/>
      <c r="E70">
        <f t="shared" ref="E70:E133" si="4">SIN(B70/180*PI())</f>
        <v>6.9253063948327958E-3</v>
      </c>
      <c r="F70" s="1">
        <f t="shared" ref="F70:F133" si="5">C70*$A$5/$A$7*SIN(B70/180*PI())</f>
        <v>0.38743626625892075</v>
      </c>
      <c r="G70" s="1">
        <f t="shared" ref="G70:G133" si="6">C70*(1/2+($A$5/(2*$A$7)-$A$9/$A$7)*SIN(B70/180*PI()))</f>
        <v>0.2591157811783899</v>
      </c>
      <c r="H70">
        <f t="shared" si="3"/>
        <v>0.22378000000000001</v>
      </c>
      <c r="I70">
        <f>IF(E70&lt;($A$17),F70,H70)</f>
        <v>0.22378000000000001</v>
      </c>
    </row>
    <row r="71" spans="2:9" x14ac:dyDescent="0.25">
      <c r="B71">
        <v>0.402806</v>
      </c>
      <c r="C71">
        <v>0.19364899999999999</v>
      </c>
      <c r="D71" s="1"/>
      <c r="E71">
        <f t="shared" si="4"/>
        <v>7.0302330349205034E-3</v>
      </c>
      <c r="F71" s="1">
        <f t="shared" si="5"/>
        <v>0.3403493992448301</v>
      </c>
      <c r="G71" s="1">
        <f t="shared" si="6"/>
        <v>0.22615727171303543</v>
      </c>
      <c r="H71">
        <f t="shared" si="3"/>
        <v>0.19364899999999999</v>
      </c>
      <c r="I71">
        <f>IF(E71&lt;($A$17),F71,H71)</f>
        <v>0.19364899999999999</v>
      </c>
    </row>
    <row r="72" spans="2:9" x14ac:dyDescent="0.25">
      <c r="B72">
        <v>0.40881800000000001</v>
      </c>
      <c r="C72">
        <v>0.169044</v>
      </c>
      <c r="D72" s="1"/>
      <c r="E72">
        <f t="shared" si="4"/>
        <v>7.1351595976043899E-3</v>
      </c>
      <c r="F72" s="1">
        <f t="shared" si="5"/>
        <v>0.30153897975435912</v>
      </c>
      <c r="G72" s="1">
        <f t="shared" si="6"/>
        <v>0.19910681230665647</v>
      </c>
      <c r="H72">
        <f t="shared" si="3"/>
        <v>0.169044</v>
      </c>
      <c r="I72">
        <f>IF(E72&lt;($A$17),F72,H72)</f>
        <v>0.169044</v>
      </c>
    </row>
    <row r="73" spans="2:9" x14ac:dyDescent="0.25">
      <c r="B73">
        <v>0.41482999999999998</v>
      </c>
      <c r="C73">
        <v>0.148757</v>
      </c>
      <c r="D73" s="1"/>
      <c r="E73">
        <f t="shared" si="4"/>
        <v>7.2400860817291995E-3</v>
      </c>
      <c r="F73" s="1">
        <f t="shared" si="5"/>
        <v>0.26925337131494764</v>
      </c>
      <c r="G73" s="1">
        <f t="shared" si="6"/>
        <v>0.17669478109968009</v>
      </c>
      <c r="H73">
        <f t="shared" si="3"/>
        <v>0.148757</v>
      </c>
      <c r="I73">
        <f>IF(E73&lt;($A$17),F73,H73)</f>
        <v>0.148757</v>
      </c>
    </row>
    <row r="74" spans="2:9" x14ac:dyDescent="0.25">
      <c r="B74">
        <v>0.42084199999999999</v>
      </c>
      <c r="C74">
        <v>0.13184899999999999</v>
      </c>
      <c r="D74" s="1"/>
      <c r="E74">
        <f t="shared" si="4"/>
        <v>7.3450124861396794E-3</v>
      </c>
      <c r="F74" s="1">
        <f t="shared" si="5"/>
        <v>0.24210813782125762</v>
      </c>
      <c r="G74" s="1">
        <f t="shared" si="6"/>
        <v>0.15792559237207787</v>
      </c>
      <c r="H74">
        <f t="shared" si="3"/>
        <v>0.13184899999999999</v>
      </c>
      <c r="I74">
        <f>IF(E74&lt;($A$17),F74,H74)</f>
        <v>0.13184899999999999</v>
      </c>
    </row>
    <row r="75" spans="2:9" x14ac:dyDescent="0.25">
      <c r="B75">
        <v>0.42685400000000001</v>
      </c>
      <c r="C75">
        <v>0.11761199999999999</v>
      </c>
      <c r="D75" s="1"/>
      <c r="E75">
        <f t="shared" si="4"/>
        <v>7.4499388096805714E-3</v>
      </c>
      <c r="F75" s="1">
        <f t="shared" si="5"/>
        <v>0.2190505508210378</v>
      </c>
      <c r="G75" s="1">
        <f t="shared" si="6"/>
        <v>0.14204520931199438</v>
      </c>
      <c r="H75">
        <f t="shared" si="3"/>
        <v>0.11761199999999999</v>
      </c>
      <c r="I75">
        <f>IF(E75&lt;($A$17),F75,H75)</f>
        <v>0.11761199999999999</v>
      </c>
    </row>
    <row r="76" spans="2:9" x14ac:dyDescent="0.25">
      <c r="B76">
        <v>0.43286599999999997</v>
      </c>
      <c r="C76">
        <v>0.105506</v>
      </c>
      <c r="D76" s="1"/>
      <c r="E76">
        <f t="shared" si="4"/>
        <v>7.5548650511966251E-3</v>
      </c>
      <c r="F76" s="1">
        <f t="shared" si="5"/>
        <v>0.19927089802288778</v>
      </c>
      <c r="G76" s="1">
        <f t="shared" si="6"/>
        <v>0.12847594124869735</v>
      </c>
      <c r="H76">
        <f t="shared" si="3"/>
        <v>0.105506</v>
      </c>
      <c r="I76">
        <f>IF(E76&lt;($A$17),F76,H76)</f>
        <v>0.105506</v>
      </c>
    </row>
    <row r="77" spans="2:9" x14ac:dyDescent="0.25">
      <c r="B77">
        <v>0.43887799999999999</v>
      </c>
      <c r="C77" s="1">
        <v>9.5124630000000002E-2</v>
      </c>
      <c r="D77" s="1"/>
      <c r="E77">
        <f t="shared" si="4"/>
        <v>7.6597912095325901E-3</v>
      </c>
      <c r="F77" s="1">
        <f t="shared" si="5"/>
        <v>0.18215870117101002</v>
      </c>
      <c r="G77" s="1">
        <f t="shared" si="6"/>
        <v>0.11678262144498382</v>
      </c>
      <c r="H77">
        <f t="shared" si="3"/>
        <v>9.5124630000000002E-2</v>
      </c>
      <c r="I77">
        <f>IF(E77&lt;($A$17),F77,H77)</f>
        <v>9.5124630000000002E-2</v>
      </c>
    </row>
    <row r="78" spans="2:9" x14ac:dyDescent="0.25">
      <c r="B78">
        <v>0.44489000000000001</v>
      </c>
      <c r="C78" s="1">
        <v>8.6151900000000003E-2</v>
      </c>
      <c r="D78" s="1"/>
      <c r="E78">
        <f t="shared" si="4"/>
        <v>7.7647172835332116E-3</v>
      </c>
      <c r="F78" s="1">
        <f t="shared" si="5"/>
        <v>0.16723628673480623</v>
      </c>
      <c r="G78" s="1">
        <f t="shared" si="6"/>
        <v>0.10662573895922636</v>
      </c>
      <c r="H78">
        <f t="shared" si="3"/>
        <v>8.6151900000000003E-2</v>
      </c>
      <c r="I78">
        <f>IF(E78&lt;($A$17),F78,H78)</f>
        <v>8.6151900000000003E-2</v>
      </c>
    </row>
    <row r="79" spans="2:9" x14ac:dyDescent="0.25">
      <c r="B79">
        <v>0.45090200000000003</v>
      </c>
      <c r="C79" s="1">
        <v>7.8341140000000004E-2</v>
      </c>
      <c r="D79" s="1"/>
      <c r="E79">
        <f t="shared" si="4"/>
        <v>7.8696432720432412E-3</v>
      </c>
      <c r="F79" s="1">
        <f t="shared" si="5"/>
        <v>0.1541292063312994</v>
      </c>
      <c r="G79" s="1">
        <f t="shared" si="6"/>
        <v>9.7739668405893779E-2</v>
      </c>
      <c r="H79">
        <f t="shared" si="3"/>
        <v>7.8341140000000004E-2</v>
      </c>
      <c r="I79">
        <f>IF(E79&lt;($A$17),F79,H79)</f>
        <v>7.8341140000000004E-2</v>
      </c>
    </row>
    <row r="80" spans="2:9" x14ac:dyDescent="0.25">
      <c r="B80">
        <v>0.45691399999999999</v>
      </c>
      <c r="C80" s="1">
        <v>7.1498249999999999E-2</v>
      </c>
      <c r="D80" s="1"/>
      <c r="E80">
        <f t="shared" si="4"/>
        <v>7.9745691739074292E-3</v>
      </c>
      <c r="F80" s="1">
        <f t="shared" si="5"/>
        <v>0.14254193510958171</v>
      </c>
      <c r="G80" s="1">
        <f t="shared" si="6"/>
        <v>8.9915060341641054E-2</v>
      </c>
      <c r="H80">
        <f t="shared" si="3"/>
        <v>7.1498249999999999E-2</v>
      </c>
      <c r="I80">
        <f>IF(E80&lt;($A$17),F80,H80)</f>
        <v>7.1498249999999999E-2</v>
      </c>
    </row>
    <row r="81" spans="2:9" x14ac:dyDescent="0.25">
      <c r="B81">
        <v>0.462926</v>
      </c>
      <c r="C81" s="1">
        <v>6.5472849999999999E-2</v>
      </c>
      <c r="D81" s="1"/>
      <c r="E81">
        <f t="shared" si="4"/>
        <v>8.0794949879705261E-3</v>
      </c>
      <c r="F81" s="1">
        <f t="shared" si="5"/>
        <v>0.1322468908557865</v>
      </c>
      <c r="G81" s="1">
        <f t="shared" si="6"/>
        <v>8.2990243525198876E-2</v>
      </c>
      <c r="H81">
        <f t="shared" si="3"/>
        <v>6.5472849999999999E-2</v>
      </c>
      <c r="I81">
        <f>IF(E81&lt;($A$17),F81,H81)</f>
        <v>6.5472849999999999E-2</v>
      </c>
    </row>
    <row r="82" spans="2:9" x14ac:dyDescent="0.25">
      <c r="B82">
        <v>0.46893800000000002</v>
      </c>
      <c r="C82" s="1">
        <v>6.0137400000000001E-2</v>
      </c>
      <c r="D82" s="1"/>
      <c r="E82">
        <f t="shared" si="4"/>
        <v>8.1844207130772877E-3</v>
      </c>
      <c r="F82" s="1">
        <f t="shared" si="5"/>
        <v>0.12304744554765353</v>
      </c>
      <c r="G82" s="1">
        <f t="shared" si="6"/>
        <v>7.6826729308108341E-2</v>
      </c>
      <c r="H82">
        <f t="shared" si="3"/>
        <v>6.0137400000000001E-2</v>
      </c>
      <c r="I82">
        <f>IF(E82&lt;($A$17),F82,H82)</f>
        <v>6.0137400000000001E-2</v>
      </c>
    </row>
    <row r="83" spans="2:9" x14ac:dyDescent="0.25">
      <c r="B83">
        <v>0.47494999999999998</v>
      </c>
      <c r="C83" s="1">
        <v>5.5385660000000003E-2</v>
      </c>
      <c r="D83" s="1"/>
      <c r="E83">
        <f t="shared" si="4"/>
        <v>8.289346348072461E-3</v>
      </c>
      <c r="F83" s="1">
        <f t="shared" si="5"/>
        <v>0.11477772961414574</v>
      </c>
      <c r="G83" s="1">
        <f t="shared" si="6"/>
        <v>7.1308367253375388E-2</v>
      </c>
      <c r="H83">
        <f t="shared" si="3"/>
        <v>5.5385660000000003E-2</v>
      </c>
      <c r="I83">
        <f>IF(E83&lt;($A$17),F83,H83)</f>
        <v>5.5385660000000003E-2</v>
      </c>
    </row>
    <row r="84" spans="2:9" x14ac:dyDescent="0.25">
      <c r="B84">
        <v>0.480962</v>
      </c>
      <c r="C84" s="1">
        <v>5.1147860000000003E-2</v>
      </c>
      <c r="D84" s="1"/>
      <c r="E84">
        <f t="shared" si="4"/>
        <v>8.3942718918008068E-3</v>
      </c>
      <c r="F84" s="1">
        <f t="shared" si="5"/>
        <v>0.10733726088094071</v>
      </c>
      <c r="G84" s="1">
        <f t="shared" si="6"/>
        <v>6.6362089134757468E-2</v>
      </c>
      <c r="H84">
        <f t="shared" si="3"/>
        <v>5.1147860000000003E-2</v>
      </c>
      <c r="I84">
        <f>IF(E84&lt;($A$17),F84,H84)</f>
        <v>5.1147860000000003E-2</v>
      </c>
    </row>
    <row r="85" spans="2:9" x14ac:dyDescent="0.25">
      <c r="B85">
        <v>0.48697400000000002</v>
      </c>
      <c r="C85" s="1">
        <v>4.7343799999999998E-2</v>
      </c>
      <c r="D85" s="1"/>
      <c r="E85">
        <f t="shared" si="4"/>
        <v>8.4991973431070792E-3</v>
      </c>
      <c r="F85" s="1">
        <f t="shared" si="5"/>
        <v>0.10059607479314822</v>
      </c>
      <c r="G85" s="1">
        <f t="shared" si="6"/>
        <v>6.1898408421396323E-2</v>
      </c>
      <c r="H85">
        <f t="shared" si="3"/>
        <v>4.7343799999999998E-2</v>
      </c>
      <c r="I85">
        <f>IF(E85&lt;($A$17),F85,H85)</f>
        <v>4.7343799999999998E-2</v>
      </c>
    </row>
    <row r="86" spans="2:9" x14ac:dyDescent="0.25">
      <c r="B86">
        <v>0.49298599999999998</v>
      </c>
      <c r="C86" s="1">
        <v>4.3912E-2</v>
      </c>
      <c r="D86" s="1"/>
      <c r="E86">
        <f t="shared" si="4"/>
        <v>8.6041227008360338E-3</v>
      </c>
      <c r="F86" s="1">
        <f t="shared" si="5"/>
        <v>9.4456059009777965E-2</v>
      </c>
      <c r="G86" s="1">
        <f t="shared" si="6"/>
        <v>5.784930242371563E-2</v>
      </c>
      <c r="H86">
        <f t="shared" si="3"/>
        <v>4.3912E-2</v>
      </c>
      <c r="I86">
        <f>IF(E86&lt;($A$17),F86,H86)</f>
        <v>4.3912E-2</v>
      </c>
    </row>
    <row r="87" spans="2:9" x14ac:dyDescent="0.25">
      <c r="B87">
        <v>0.498998</v>
      </c>
      <c r="C87" s="1">
        <v>4.0829320000000002E-2</v>
      </c>
      <c r="D87" s="1"/>
      <c r="E87">
        <f t="shared" si="4"/>
        <v>8.7090479638324281E-3</v>
      </c>
      <c r="F87" s="1">
        <f t="shared" si="5"/>
        <v>8.8896126552665669E-2</v>
      </c>
      <c r="G87" s="1">
        <f t="shared" si="6"/>
        <v>5.4195188090012947E-2</v>
      </c>
      <c r="H87">
        <f t="shared" si="3"/>
        <v>4.0829320000000002E-2</v>
      </c>
      <c r="I87">
        <f>IF(E87&lt;($A$17),F87,H87)</f>
        <v>4.0829320000000002E-2</v>
      </c>
    </row>
    <row r="88" spans="2:9" x14ac:dyDescent="0.25">
      <c r="B88">
        <v>0.50500999999999996</v>
      </c>
      <c r="C88" s="1">
        <v>3.801711E-2</v>
      </c>
      <c r="D88" s="1"/>
      <c r="E88">
        <f t="shared" si="4"/>
        <v>8.8139731309410194E-3</v>
      </c>
      <c r="F88" s="1">
        <f t="shared" si="5"/>
        <v>8.377044651400728E-2</v>
      </c>
      <c r="G88" s="1">
        <f t="shared" si="6"/>
        <v>5.0841324675322763E-2</v>
      </c>
      <c r="H88">
        <f t="shared" si="3"/>
        <v>3.801711E-2</v>
      </c>
      <c r="I88">
        <f>IF(E88&lt;($A$17),F88,H88)</f>
        <v>3.801711E-2</v>
      </c>
    </row>
    <row r="89" spans="2:9" x14ac:dyDescent="0.25">
      <c r="B89">
        <v>0.51102199999999998</v>
      </c>
      <c r="C89" s="1">
        <v>3.5473339999999999E-2</v>
      </c>
      <c r="D89" s="1"/>
      <c r="E89">
        <f t="shared" si="4"/>
        <v>8.9188982010065723E-3</v>
      </c>
      <c r="F89" s="1">
        <f t="shared" si="5"/>
        <v>7.9095777077423601E-2</v>
      </c>
      <c r="G89" s="1">
        <f t="shared" si="6"/>
        <v>4.7793065289420976E-2</v>
      </c>
      <c r="H89">
        <f t="shared" si="3"/>
        <v>3.5473339999999999E-2</v>
      </c>
      <c r="I89">
        <f>IF(E89&lt;($A$17),F89,H89)</f>
        <v>3.5473339999999999E-2</v>
      </c>
    </row>
    <row r="90" spans="2:9" x14ac:dyDescent="0.25">
      <c r="B90">
        <v>0.51703399999999999</v>
      </c>
      <c r="C90" s="1">
        <v>3.3160240000000001E-2</v>
      </c>
      <c r="D90" s="1"/>
      <c r="E90">
        <f t="shared" si="4"/>
        <v>9.0238231728738422E-3</v>
      </c>
      <c r="F90" s="1">
        <f t="shared" si="5"/>
        <v>7.4808035532514527E-2</v>
      </c>
      <c r="G90" s="1">
        <f t="shared" si="6"/>
        <v>4.5007173502355523E-2</v>
      </c>
      <c r="H90">
        <f t="shared" si="3"/>
        <v>3.3160240000000001E-2</v>
      </c>
      <c r="I90">
        <f>IF(E90&lt;($A$17),F90,H90)</f>
        <v>3.3160240000000001E-2</v>
      </c>
    </row>
    <row r="91" spans="2:9" x14ac:dyDescent="0.25">
      <c r="B91">
        <v>0.52304600000000001</v>
      </c>
      <c r="C91" s="1">
        <v>3.1024510000000002E-2</v>
      </c>
      <c r="D91" s="1"/>
      <c r="E91">
        <f t="shared" si="4"/>
        <v>9.1287480453875938E-3</v>
      </c>
      <c r="F91" s="1">
        <f t="shared" si="5"/>
        <v>7.0803733755401971E-2</v>
      </c>
      <c r="G91" s="1">
        <f t="shared" si="6"/>
        <v>4.2417673827052749E-2</v>
      </c>
      <c r="H91">
        <f t="shared" si="3"/>
        <v>3.1024510000000002E-2</v>
      </c>
      <c r="I91">
        <f>IF(E91&lt;($A$17),F91,H91)</f>
        <v>3.1024510000000002E-2</v>
      </c>
    </row>
    <row r="92" spans="2:9" x14ac:dyDescent="0.25">
      <c r="B92">
        <v>0.52905800000000003</v>
      </c>
      <c r="C92" s="1">
        <v>2.9107830000000001E-2</v>
      </c>
      <c r="D92" s="1"/>
      <c r="E92">
        <f t="shared" si="4"/>
        <v>9.2336728173925894E-3</v>
      </c>
      <c r="F92" s="1">
        <f t="shared" si="5"/>
        <v>6.7193044661071136E-2</v>
      </c>
      <c r="G92" s="1">
        <f t="shared" si="6"/>
        <v>4.0087271971207025E-2</v>
      </c>
      <c r="H92">
        <f t="shared" si="3"/>
        <v>2.9107830000000001E-2</v>
      </c>
      <c r="I92">
        <f>IF(E92&lt;($A$17),F92,H92)</f>
        <v>2.9107830000000001E-2</v>
      </c>
    </row>
    <row r="93" spans="2:9" x14ac:dyDescent="0.25">
      <c r="B93">
        <v>0.53507000000000005</v>
      </c>
      <c r="C93" s="1">
        <v>2.7302730000000001E-2</v>
      </c>
      <c r="D93" s="1"/>
      <c r="E93">
        <f t="shared" si="4"/>
        <v>9.3385974877335902E-3</v>
      </c>
      <c r="F93" s="1">
        <f t="shared" si="5"/>
        <v>6.3742301446567118E-2</v>
      </c>
      <c r="G93" s="1">
        <f t="shared" si="6"/>
        <v>3.7873439549695506E-2</v>
      </c>
      <c r="H93">
        <f t="shared" si="3"/>
        <v>2.7302730000000001E-2</v>
      </c>
      <c r="I93">
        <f>IF(E93&lt;($A$17),F93,H93)</f>
        <v>2.7302730000000001E-2</v>
      </c>
    </row>
    <row r="94" spans="2:9" x14ac:dyDescent="0.25">
      <c r="B94">
        <v>0.54108199999999995</v>
      </c>
      <c r="C94" s="1">
        <v>2.5687939999999999E-2</v>
      </c>
      <c r="D94" s="1"/>
      <c r="E94">
        <f t="shared" si="4"/>
        <v>9.4435220552553656E-3</v>
      </c>
      <c r="F94" s="1">
        <f t="shared" si="5"/>
        <v>6.064615698601912E-2</v>
      </c>
      <c r="G94" s="1">
        <f t="shared" si="6"/>
        <v>3.588950965468727E-2</v>
      </c>
      <c r="H94">
        <f t="shared" si="3"/>
        <v>2.5687939999999999E-2</v>
      </c>
      <c r="I94">
        <f>IF(E94&lt;($A$17),F94,H94)</f>
        <v>2.5687939999999999E-2</v>
      </c>
    </row>
    <row r="95" spans="2:9" x14ac:dyDescent="0.25">
      <c r="B95">
        <v>0.54709399999999997</v>
      </c>
      <c r="C95" s="1">
        <v>2.4166320000000002E-2</v>
      </c>
      <c r="D95" s="1"/>
      <c r="E95">
        <f t="shared" si="4"/>
        <v>9.54844651880268E-3</v>
      </c>
      <c r="F95" s="1">
        <f t="shared" si="5"/>
        <v>5.76877035190679E-2</v>
      </c>
      <c r="G95" s="1">
        <f t="shared" si="6"/>
        <v>3.4004487337245808E-2</v>
      </c>
      <c r="H95">
        <f t="shared" si="3"/>
        <v>2.4166320000000002E-2</v>
      </c>
      <c r="I95">
        <f>IF(E95&lt;($A$17),F95,H95)</f>
        <v>2.4166320000000002E-2</v>
      </c>
    </row>
    <row r="96" spans="2:9" x14ac:dyDescent="0.25">
      <c r="B96">
        <v>0.55310599999999999</v>
      </c>
      <c r="C96" s="1">
        <v>2.2777990000000001E-2</v>
      </c>
      <c r="D96" s="1"/>
      <c r="E96">
        <f t="shared" si="4"/>
        <v>9.6533708772203013E-3</v>
      </c>
      <c r="F96" s="1">
        <f t="shared" si="5"/>
        <v>5.4971096326903821E-2</v>
      </c>
      <c r="G96" s="1">
        <f t="shared" si="6"/>
        <v>3.2278011604223451E-2</v>
      </c>
      <c r="H96">
        <f t="shared" si="3"/>
        <v>2.2777990000000001E-2</v>
      </c>
      <c r="I96">
        <f>IF(E96&lt;($A$17),F96,H96)</f>
        <v>2.2777990000000001E-2</v>
      </c>
    </row>
    <row r="97" spans="2:9" x14ac:dyDescent="0.25">
      <c r="B97">
        <v>0.559118</v>
      </c>
      <c r="C97" s="1">
        <v>2.150067E-2</v>
      </c>
      <c r="D97" s="1"/>
      <c r="E97">
        <f t="shared" si="4"/>
        <v>9.7582951293529955E-3</v>
      </c>
      <c r="F97" s="1">
        <f t="shared" si="5"/>
        <v>5.2452470834706513E-2</v>
      </c>
      <c r="G97" s="1">
        <f t="shared" si="6"/>
        <v>3.0682273917188474E-2</v>
      </c>
      <c r="H97">
        <f t="shared" si="3"/>
        <v>2.150067E-2</v>
      </c>
      <c r="I97">
        <f>IF(E97&lt;($A$17),F97,H97)</f>
        <v>2.150067E-2</v>
      </c>
    </row>
    <row r="98" spans="2:9" x14ac:dyDescent="0.25">
      <c r="B98">
        <v>0.56513000000000002</v>
      </c>
      <c r="C98" s="1">
        <v>2.028758E-2</v>
      </c>
      <c r="D98" s="1"/>
      <c r="E98">
        <f t="shared" si="4"/>
        <v>9.8632192740455357E-3</v>
      </c>
      <c r="F98" s="1">
        <f t="shared" si="5"/>
        <v>5.0025212519935178E-2</v>
      </c>
      <c r="G98" s="1">
        <f t="shared" si="6"/>
        <v>2.9153370757575368E-2</v>
      </c>
      <c r="H98">
        <f t="shared" si="3"/>
        <v>2.028758E-2</v>
      </c>
      <c r="I98">
        <f>IF(E98&lt;($A$17),F98,H98)</f>
        <v>2.028758E-2</v>
      </c>
    </row>
    <row r="99" spans="2:9" x14ac:dyDescent="0.25">
      <c r="B99">
        <v>0.57114200000000004</v>
      </c>
      <c r="C99" s="1">
        <v>1.9215489999999998E-2</v>
      </c>
      <c r="D99" s="1"/>
      <c r="E99">
        <f t="shared" si="4"/>
        <v>9.9681433101426933E-3</v>
      </c>
      <c r="F99" s="1">
        <f t="shared" si="5"/>
        <v>4.7885689523653442E-2</v>
      </c>
      <c r="G99" s="1">
        <f t="shared" si="6"/>
        <v>2.7804307018988311E-2</v>
      </c>
      <c r="H99">
        <f t="shared" si="3"/>
        <v>1.9215489999999998E-2</v>
      </c>
      <c r="I99">
        <f>IF(E99&lt;($A$17),F99,H99)</f>
        <v>1.9215489999999998E-2</v>
      </c>
    </row>
    <row r="100" spans="2:9" x14ac:dyDescent="0.25">
      <c r="B100">
        <v>0.57715399999999994</v>
      </c>
      <c r="C100" s="1">
        <v>1.8145890000000001E-2</v>
      </c>
      <c r="D100" s="1"/>
      <c r="E100">
        <f t="shared" si="4"/>
        <v>1.0073067236489236E-2</v>
      </c>
      <c r="F100" s="1">
        <f t="shared" si="5"/>
        <v>4.5696192508984421E-2</v>
      </c>
      <c r="G100" s="1">
        <f t="shared" si="6"/>
        <v>2.643749815341408E-2</v>
      </c>
      <c r="H100">
        <f t="shared" si="3"/>
        <v>1.8145890000000001E-2</v>
      </c>
      <c r="I100">
        <f>IF(E100&lt;($A$17),F100,H100)</f>
        <v>1.8145890000000001E-2</v>
      </c>
    </row>
    <row r="101" spans="2:9" x14ac:dyDescent="0.25">
      <c r="B101">
        <v>0.58316599999999996</v>
      </c>
      <c r="C101" s="1">
        <v>1.724154E-2</v>
      </c>
      <c r="D101" s="1"/>
      <c r="E101">
        <f t="shared" si="4"/>
        <v>1.0177991051929939E-2</v>
      </c>
      <c r="F101" s="1">
        <f t="shared" si="5"/>
        <v>4.3871059960373021E-2</v>
      </c>
      <c r="G101" s="1">
        <f t="shared" si="6"/>
        <v>2.5291772784941751E-2</v>
      </c>
      <c r="H101">
        <f t="shared" si="3"/>
        <v>1.724154E-2</v>
      </c>
      <c r="I101">
        <f>IF(E101&lt;($A$17),F101,H101)</f>
        <v>1.724154E-2</v>
      </c>
    </row>
    <row r="102" spans="2:9" x14ac:dyDescent="0.25">
      <c r="B102">
        <v>0.58917799999999998</v>
      </c>
      <c r="C102" s="1">
        <v>1.6294960000000001E-2</v>
      </c>
      <c r="D102" s="1"/>
      <c r="E102">
        <f t="shared" si="4"/>
        <v>1.0282914755309579E-2</v>
      </c>
      <c r="F102" s="1">
        <f t="shared" si="5"/>
        <v>4.1889921155294843E-2</v>
      </c>
      <c r="G102" s="1">
        <f t="shared" si="6"/>
        <v>2.4065650039012045E-2</v>
      </c>
      <c r="H102">
        <f t="shared" si="3"/>
        <v>1.6294960000000001E-2</v>
      </c>
      <c r="I102">
        <f>IF(E102&lt;($A$17),F102,H102)</f>
        <v>1.6294960000000001E-2</v>
      </c>
    </row>
    <row r="103" spans="2:9" x14ac:dyDescent="0.25">
      <c r="B103">
        <v>0.59519</v>
      </c>
      <c r="C103" s="1">
        <v>1.5525850000000001E-2</v>
      </c>
      <c r="D103" s="1"/>
      <c r="E103">
        <f t="shared" si="4"/>
        <v>1.0387838345472931E-2</v>
      </c>
      <c r="F103" s="1">
        <f t="shared" si="5"/>
        <v>4.0320004994015231E-2</v>
      </c>
      <c r="G103" s="1">
        <f t="shared" si="6"/>
        <v>2.3084526897725787E-2</v>
      </c>
      <c r="H103">
        <f t="shared" si="3"/>
        <v>1.5525850000000001E-2</v>
      </c>
      <c r="I103">
        <f>IF(E103&lt;($A$17),F103,H103)</f>
        <v>1.5525850000000001E-2</v>
      </c>
    </row>
    <row r="104" spans="2:9" x14ac:dyDescent="0.25">
      <c r="B104">
        <v>0.60120200000000001</v>
      </c>
      <c r="C104" s="1">
        <v>1.4686899999999999E-2</v>
      </c>
      <c r="D104" s="1"/>
      <c r="E104">
        <f t="shared" si="4"/>
        <v>1.0492761821264771E-2</v>
      </c>
      <c r="F104" s="1">
        <f t="shared" si="5"/>
        <v>3.8526535898183389E-2</v>
      </c>
      <c r="G104" s="1">
        <f t="shared" si="6"/>
        <v>2.1983533641309689E-2</v>
      </c>
      <c r="H104">
        <f t="shared" si="3"/>
        <v>1.4686899999999999E-2</v>
      </c>
      <c r="I104">
        <f>IF(E104&lt;($A$17),F104,H104)</f>
        <v>1.4686899999999999E-2</v>
      </c>
    </row>
    <row r="105" spans="2:9" x14ac:dyDescent="0.25">
      <c r="B105">
        <v>0.60721400000000003</v>
      </c>
      <c r="C105" s="1">
        <v>1.402725E-2</v>
      </c>
      <c r="D105" s="1"/>
      <c r="E105">
        <f t="shared" si="4"/>
        <v>1.0597685181529879E-2</v>
      </c>
      <c r="F105" s="1">
        <f t="shared" si="5"/>
        <v>3.7164094865653745E-2</v>
      </c>
      <c r="G105" s="1">
        <f t="shared" si="6"/>
        <v>2.1135981048948423E-2</v>
      </c>
      <c r="H105">
        <f t="shared" si="3"/>
        <v>1.402725E-2</v>
      </c>
      <c r="I105">
        <f>IF(E105&lt;($A$17),F105,H105)</f>
        <v>1.402725E-2</v>
      </c>
    </row>
    <row r="106" spans="2:9" x14ac:dyDescent="0.25">
      <c r="B106">
        <v>0.61322600000000005</v>
      </c>
      <c r="C106" s="1">
        <v>1.328228E-2</v>
      </c>
      <c r="D106" s="1"/>
      <c r="E106">
        <f t="shared" si="4"/>
        <v>1.070260842511303E-2</v>
      </c>
      <c r="F106" s="1">
        <f t="shared" si="5"/>
        <v>3.5538760458177568E-2</v>
      </c>
      <c r="G106" s="1">
        <f t="shared" si="6"/>
        <v>2.014586897410748E-2</v>
      </c>
      <c r="H106">
        <f t="shared" si="3"/>
        <v>1.328228E-2</v>
      </c>
      <c r="I106">
        <f>IF(E106&lt;($A$17),F106,H106)</f>
        <v>1.328228E-2</v>
      </c>
    </row>
    <row r="107" spans="2:9" x14ac:dyDescent="0.25">
      <c r="B107">
        <v>0.61923799999999996</v>
      </c>
      <c r="C107" s="1">
        <v>1.2712940000000001E-2</v>
      </c>
      <c r="D107" s="1"/>
      <c r="E107">
        <f t="shared" si="4"/>
        <v>1.080753155085901E-2</v>
      </c>
      <c r="F107" s="1">
        <f t="shared" si="5"/>
        <v>3.4348875038544391E-2</v>
      </c>
      <c r="G107" s="1">
        <f t="shared" si="6"/>
        <v>1.9409042514646868E-2</v>
      </c>
      <c r="H107">
        <f t="shared" si="3"/>
        <v>1.2712940000000001E-2</v>
      </c>
      <c r="I107">
        <f>IF(E107&lt;($A$17),F107,H107)</f>
        <v>1.2712940000000001E-2</v>
      </c>
    </row>
    <row r="108" spans="2:9" x14ac:dyDescent="0.25">
      <c r="B108">
        <v>0.62524999999999997</v>
      </c>
      <c r="C108" s="1">
        <v>1.20488E-2</v>
      </c>
      <c r="D108" s="1"/>
      <c r="E108">
        <f t="shared" si="4"/>
        <v>1.0912454557612597E-2</v>
      </c>
      <c r="F108" s="1">
        <f t="shared" si="5"/>
        <v>3.2870495618440659E-2</v>
      </c>
      <c r="G108" s="1">
        <f t="shared" si="6"/>
        <v>1.8515188335007451E-2</v>
      </c>
      <c r="H108">
        <f t="shared" si="3"/>
        <v>1.20488E-2</v>
      </c>
      <c r="I108">
        <f>IF(E108&lt;($A$17),F108,H108)</f>
        <v>1.20488E-2</v>
      </c>
    </row>
    <row r="109" spans="2:9" x14ac:dyDescent="0.25">
      <c r="B109">
        <v>0.63126199999999999</v>
      </c>
      <c r="C109" s="1">
        <v>1.1556210000000001E-2</v>
      </c>
      <c r="D109" s="1"/>
      <c r="E109">
        <f t="shared" si="4"/>
        <v>1.101737744421858E-2</v>
      </c>
      <c r="F109" s="1">
        <f t="shared" si="5"/>
        <v>3.1829781848663301E-2</v>
      </c>
      <c r="G109" s="1">
        <f t="shared" si="6"/>
        <v>1.7873422102492056E-2</v>
      </c>
      <c r="H109">
        <f t="shared" si="3"/>
        <v>1.1556210000000001E-2</v>
      </c>
      <c r="I109">
        <f>IF(E109&lt;($A$17),F109,H109)</f>
        <v>1.1556210000000001E-2</v>
      </c>
    </row>
    <row r="110" spans="2:9" x14ac:dyDescent="0.25">
      <c r="B110">
        <v>0.63727500000000004</v>
      </c>
      <c r="C110" s="1">
        <v>1.09601E-2</v>
      </c>
      <c r="D110" s="1"/>
      <c r="E110">
        <f t="shared" si="4"/>
        <v>1.1122317661734689E-2</v>
      </c>
      <c r="F110" s="1">
        <f t="shared" si="5"/>
        <v>3.0475428451094595E-2</v>
      </c>
      <c r="G110" s="1">
        <f t="shared" si="6"/>
        <v>1.7060712811415944E-2</v>
      </c>
      <c r="H110">
        <f t="shared" si="3"/>
        <v>1.09601E-2</v>
      </c>
      <c r="I110">
        <f>IF(E110&lt;($A$17),F110,H110)</f>
        <v>1.09601E-2</v>
      </c>
    </row>
    <row r="111" spans="2:9" x14ac:dyDescent="0.25">
      <c r="B111">
        <v>0.64328700000000005</v>
      </c>
      <c r="C111" s="1">
        <v>1.053492E-2</v>
      </c>
      <c r="D111" s="1"/>
      <c r="E111">
        <f t="shared" si="4"/>
        <v>1.1227240304559346E-2</v>
      </c>
      <c r="F111" s="1">
        <f t="shared" si="5"/>
        <v>2.956951960732708E-2</v>
      </c>
      <c r="G111" s="1">
        <f t="shared" si="6"/>
        <v>1.6503877450784292E-2</v>
      </c>
      <c r="H111">
        <f t="shared" si="3"/>
        <v>1.053492E-2</v>
      </c>
      <c r="I111">
        <f>IF(E111&lt;($A$17),F111,H111)</f>
        <v>1.053492E-2</v>
      </c>
    </row>
    <row r="112" spans="2:9" x14ac:dyDescent="0.25">
      <c r="B112">
        <v>0.64929899999999996</v>
      </c>
      <c r="C112" s="1">
        <v>9.9946859999999992E-3</v>
      </c>
      <c r="D112" s="1"/>
      <c r="E112">
        <f t="shared" si="4"/>
        <v>1.1332162823770562E-2</v>
      </c>
      <c r="F112" s="1">
        <f t="shared" si="5"/>
        <v>2.8315352281115019E-2</v>
      </c>
      <c r="G112" s="1">
        <f t="shared" si="6"/>
        <v>1.5757176866823708E-2</v>
      </c>
      <c r="H112">
        <f t="shared" si="3"/>
        <v>9.9946859999999992E-3</v>
      </c>
      <c r="I112">
        <f>IF(E112&lt;($A$17),F112,H112)</f>
        <v>9.9946859999999992E-3</v>
      </c>
    </row>
    <row r="113" spans="2:9" x14ac:dyDescent="0.25">
      <c r="B113">
        <v>0.65531099999999998</v>
      </c>
      <c r="C113" s="1">
        <v>9.630497E-3</v>
      </c>
      <c r="D113" s="1"/>
      <c r="E113">
        <f t="shared" si="4"/>
        <v>1.1437085218213124E-2</v>
      </c>
      <c r="F113" s="1">
        <f t="shared" si="5"/>
        <v>2.7536203720686461E-2</v>
      </c>
      <c r="G113" s="1">
        <f t="shared" si="6"/>
        <v>1.5279005913860853E-2</v>
      </c>
      <c r="H113">
        <f t="shared" si="3"/>
        <v>9.630497E-3</v>
      </c>
      <c r="I113">
        <f>IF(E113&lt;($A$17),F113,H113)</f>
        <v>9.630497E-3</v>
      </c>
    </row>
    <row r="114" spans="2:9" x14ac:dyDescent="0.25">
      <c r="B114">
        <v>0.66132299999999999</v>
      </c>
      <c r="C114" s="1">
        <v>9.1349770000000007E-3</v>
      </c>
      <c r="D114" s="1"/>
      <c r="E114">
        <f t="shared" si="4"/>
        <v>1.1542007486731827E-2</v>
      </c>
      <c r="F114" s="1">
        <f t="shared" si="5"/>
        <v>2.6358993231280763E-2</v>
      </c>
      <c r="G114" s="1">
        <f t="shared" si="6"/>
        <v>1.4583905927886689E-2</v>
      </c>
      <c r="H114">
        <f t="shared" si="3"/>
        <v>9.1349770000000007E-3</v>
      </c>
      <c r="I114">
        <f>IF(E114&lt;($A$17),F114,H114)</f>
        <v>9.1349770000000007E-3</v>
      </c>
    </row>
    <row r="115" spans="2:9" x14ac:dyDescent="0.25">
      <c r="B115">
        <v>0.66733500000000001</v>
      </c>
      <c r="C115" s="1">
        <v>8.8270919999999999E-3</v>
      </c>
      <c r="D115" s="1"/>
      <c r="E115">
        <f t="shared" si="4"/>
        <v>1.1646929628171458E-2</v>
      </c>
      <c r="F115" s="1">
        <f t="shared" si="5"/>
        <v>2.5702129836348807E-2</v>
      </c>
      <c r="G115" s="1">
        <f t="shared" si="6"/>
        <v>1.4180355337812549E-2</v>
      </c>
      <c r="H115">
        <f t="shared" si="3"/>
        <v>8.8270919999999999E-3</v>
      </c>
      <c r="I115">
        <f>IF(E115&lt;($A$17),F115,H115)</f>
        <v>8.8270919999999999E-3</v>
      </c>
    </row>
    <row r="116" spans="2:9" x14ac:dyDescent="0.25">
      <c r="B116">
        <v>0.67334700000000003</v>
      </c>
      <c r="C116" s="1">
        <v>8.366699E-3</v>
      </c>
      <c r="D116" s="1"/>
      <c r="E116">
        <f t="shared" si="4"/>
        <v>1.175185164137681E-2</v>
      </c>
      <c r="F116" s="1">
        <f t="shared" si="5"/>
        <v>2.4581051344013925E-2</v>
      </c>
      <c r="G116" s="1">
        <f t="shared" si="6"/>
        <v>1.3524149010725293E-2</v>
      </c>
      <c r="H116">
        <f t="shared" si="3"/>
        <v>8.366699E-3</v>
      </c>
      <c r="I116">
        <f>IF(E116&lt;($A$17),F116,H116)</f>
        <v>8.366699E-3</v>
      </c>
    </row>
    <row r="117" spans="2:9" x14ac:dyDescent="0.25">
      <c r="B117">
        <v>0.67935900000000005</v>
      </c>
      <c r="C117" s="1">
        <v>8.110964E-3</v>
      </c>
      <c r="D117" s="1"/>
      <c r="E117">
        <f t="shared" si="4"/>
        <v>1.185677352519268E-2</v>
      </c>
      <c r="F117" s="1">
        <f t="shared" si="5"/>
        <v>2.4042465804747729E-2</v>
      </c>
      <c r="G117" s="1">
        <f t="shared" si="6"/>
        <v>1.3191619005804137E-2</v>
      </c>
      <c r="H117">
        <f t="shared" si="3"/>
        <v>8.110964E-3</v>
      </c>
      <c r="I117">
        <f>IF(E117&lt;($A$17),F117,H117)</f>
        <v>8.110964E-3</v>
      </c>
    </row>
    <row r="118" spans="2:9" x14ac:dyDescent="0.25">
      <c r="B118">
        <v>0.68537099999999995</v>
      </c>
      <c r="C118" s="1">
        <v>7.6783499999999996E-3</v>
      </c>
      <c r="D118" s="1"/>
      <c r="E118">
        <f t="shared" si="4"/>
        <v>1.1961695278463861E-2</v>
      </c>
      <c r="F118" s="1">
        <f t="shared" si="5"/>
        <v>2.2961520735348243E-2</v>
      </c>
      <c r="G118" s="1">
        <f t="shared" si="6"/>
        <v>1.2564552879432332E-2</v>
      </c>
      <c r="H118">
        <f t="shared" si="3"/>
        <v>7.6783499999999996E-3</v>
      </c>
      <c r="I118">
        <f>IF(E118&lt;($A$17),F118,H118)</f>
        <v>7.6783499999999996E-3</v>
      </c>
    </row>
    <row r="119" spans="2:9" x14ac:dyDescent="0.25">
      <c r="B119">
        <v>0.69138299999999997</v>
      </c>
      <c r="C119" s="1">
        <v>7.4699659999999998E-3</v>
      </c>
      <c r="D119" s="1"/>
      <c r="E119">
        <f t="shared" si="4"/>
        <v>1.2066616900035151E-2</v>
      </c>
      <c r="F119" s="1">
        <f t="shared" si="5"/>
        <v>2.2534304494571993E-2</v>
      </c>
      <c r="G119" s="1">
        <f t="shared" si="6"/>
        <v>1.2298018707937357E-2</v>
      </c>
      <c r="H119">
        <f t="shared" si="3"/>
        <v>7.4699659999999998E-3</v>
      </c>
      <c r="I119">
        <f>IF(E119&lt;($A$17),F119,H119)</f>
        <v>7.4699659999999998E-3</v>
      </c>
    </row>
    <row r="120" spans="2:9" x14ac:dyDescent="0.25">
      <c r="B120">
        <v>0.69739499999999999</v>
      </c>
      <c r="C120" s="1">
        <v>7.0608679999999997E-3</v>
      </c>
      <c r="D120" s="1"/>
      <c r="E120">
        <f t="shared" si="4"/>
        <v>1.2171538388751353E-2</v>
      </c>
      <c r="F120" s="1">
        <f t="shared" si="5"/>
        <v>2.1485406479976498E-2</v>
      </c>
      <c r="G120" s="1">
        <f t="shared" si="6"/>
        <v>1.1694888462391069E-2</v>
      </c>
      <c r="H120">
        <f t="shared" si="3"/>
        <v>7.0608679999999997E-3</v>
      </c>
      <c r="I120">
        <f>IF(E120&lt;($A$17),F120,H120)</f>
        <v>7.0608679999999997E-3</v>
      </c>
    </row>
    <row r="121" spans="2:9" x14ac:dyDescent="0.25">
      <c r="B121">
        <v>0.703407</v>
      </c>
      <c r="C121" s="1">
        <v>6.8931069999999999E-3</v>
      </c>
      <c r="D121" s="1"/>
      <c r="E121">
        <f t="shared" si="4"/>
        <v>1.2276459743457261E-2</v>
      </c>
      <c r="F121" s="1">
        <f t="shared" si="5"/>
        <v>2.1155737648210857E-2</v>
      </c>
      <c r="G121" s="1">
        <f t="shared" si="6"/>
        <v>1.1485733806320127E-2</v>
      </c>
      <c r="H121">
        <f t="shared" si="3"/>
        <v>6.8931069999999999E-3</v>
      </c>
      <c r="I121">
        <f>IF(E121&lt;($A$17),F121,H121)</f>
        <v>6.8931069999999999E-3</v>
      </c>
    </row>
    <row r="122" spans="2:9" x14ac:dyDescent="0.25">
      <c r="B122">
        <v>0.70941900000000002</v>
      </c>
      <c r="C122" s="1">
        <v>6.5072109999999997E-3</v>
      </c>
      <c r="D122" s="1"/>
      <c r="E122">
        <f t="shared" si="4"/>
        <v>1.2381380962997681E-2</v>
      </c>
      <c r="F122" s="1">
        <f t="shared" si="5"/>
        <v>2.0142064599402272E-2</v>
      </c>
      <c r="G122" s="1">
        <f t="shared" si="6"/>
        <v>1.0907590047772864E-2</v>
      </c>
      <c r="H122">
        <f t="shared" si="3"/>
        <v>6.5072109999999997E-3</v>
      </c>
      <c r="I122">
        <f>IF(E122&lt;($A$17),F122,H122)</f>
        <v>6.5072109999999997E-3</v>
      </c>
    </row>
    <row r="123" spans="2:9" x14ac:dyDescent="0.25">
      <c r="B123">
        <v>0.71543100000000004</v>
      </c>
      <c r="C123" s="1">
        <v>6.3704190000000004E-3</v>
      </c>
      <c r="D123" s="1"/>
      <c r="E123">
        <f t="shared" si="4"/>
        <v>1.2486302046217411E-2</v>
      </c>
      <c r="F123" s="1">
        <f t="shared" si="5"/>
        <v>1.988574394874057E-2</v>
      </c>
      <c r="G123" s="1">
        <f t="shared" si="6"/>
        <v>1.0741792200521417E-2</v>
      </c>
      <c r="H123">
        <f t="shared" si="3"/>
        <v>6.3704190000000004E-3</v>
      </c>
      <c r="I123">
        <f>IF(E123&lt;($A$17),F123,H123)</f>
        <v>6.3704190000000004E-3</v>
      </c>
    </row>
    <row r="124" spans="2:9" x14ac:dyDescent="0.25">
      <c r="B124">
        <v>0.72144299999999995</v>
      </c>
      <c r="C124" s="1">
        <v>6.0119400000000003E-3</v>
      </c>
      <c r="D124" s="1"/>
      <c r="E124">
        <f t="shared" si="4"/>
        <v>1.2591222991961259E-2</v>
      </c>
      <c r="F124" s="1">
        <f t="shared" si="5"/>
        <v>1.8924419288572893E-2</v>
      </c>
      <c r="G124" s="1">
        <f t="shared" si="6"/>
        <v>1.0197249329657699E-2</v>
      </c>
      <c r="H124">
        <f t="shared" si="3"/>
        <v>6.0119400000000003E-3</v>
      </c>
      <c r="I124">
        <f>IF(E124&lt;($A$17),F124,H124)</f>
        <v>6.0119400000000003E-3</v>
      </c>
    </row>
    <row r="125" spans="2:9" x14ac:dyDescent="0.25">
      <c r="B125">
        <v>0.72745499999999996</v>
      </c>
      <c r="C125" s="1">
        <v>5.8929630000000002E-3</v>
      </c>
      <c r="D125" s="1"/>
      <c r="E125">
        <f t="shared" si="4"/>
        <v>1.2696143799074034E-2</v>
      </c>
      <c r="F125" s="1">
        <f t="shared" si="5"/>
        <v>1.8704476412655678E-2</v>
      </c>
      <c r="G125" s="1">
        <f t="shared" si="6"/>
        <v>1.0054182536809158E-2</v>
      </c>
      <c r="H125">
        <f t="shared" si="3"/>
        <v>5.8929630000000002E-3</v>
      </c>
      <c r="I125">
        <f>IF(E125&lt;($A$17),F125,H125)</f>
        <v>5.8929630000000002E-3</v>
      </c>
    </row>
    <row r="126" spans="2:9" x14ac:dyDescent="0.25">
      <c r="B126">
        <v>0.73346699999999998</v>
      </c>
      <c r="C126" s="1">
        <v>5.5705329999999999E-3</v>
      </c>
      <c r="D126" s="1"/>
      <c r="E126">
        <f t="shared" si="4"/>
        <v>1.2801064466400539E-2</v>
      </c>
      <c r="F126" s="1">
        <f t="shared" si="5"/>
        <v>1.7827188011302897E-2</v>
      </c>
      <c r="G126" s="1">
        <f t="shared" si="6"/>
        <v>9.5595979442951017E-3</v>
      </c>
      <c r="H126">
        <f t="shared" si="3"/>
        <v>5.5705329999999999E-3</v>
      </c>
      <c r="I126">
        <f>IF(E126&lt;($A$17),F126,H126)</f>
        <v>5.5705329999999999E-3</v>
      </c>
    </row>
    <row r="127" spans="2:9" x14ac:dyDescent="0.25">
      <c r="B127">
        <v>0.739479</v>
      </c>
      <c r="C127" s="1">
        <v>5.4532010000000004E-3</v>
      </c>
      <c r="D127" s="1"/>
      <c r="E127">
        <f t="shared" si="4"/>
        <v>1.2905984992785587E-2</v>
      </c>
      <c r="F127" s="1">
        <f t="shared" si="5"/>
        <v>1.7594732567160841E-2</v>
      </c>
      <c r="G127" s="1">
        <f t="shared" si="6"/>
        <v>9.4125988755211186E-3</v>
      </c>
      <c r="H127">
        <f t="shared" si="3"/>
        <v>5.4532010000000004E-3</v>
      </c>
      <c r="I127">
        <f>IF(E127&lt;($A$17),F127,H127)</f>
        <v>5.4532010000000004E-3</v>
      </c>
    </row>
    <row r="128" spans="2:9" x14ac:dyDescent="0.25">
      <c r="B128">
        <v>0.74549100000000001</v>
      </c>
      <c r="C128" s="1">
        <v>5.178635E-3</v>
      </c>
      <c r="D128" s="1"/>
      <c r="E128">
        <f t="shared" si="4"/>
        <v>1.3010905377073986E-2</v>
      </c>
      <c r="F128" s="1">
        <f t="shared" si="5"/>
        <v>1.6844682491850886E-2</v>
      </c>
      <c r="G128" s="1">
        <f t="shared" si="6"/>
        <v>8.9902968469033374E-3</v>
      </c>
      <c r="H128">
        <f t="shared" si="3"/>
        <v>5.178635E-3</v>
      </c>
      <c r="I128">
        <f>IF(E128&lt;($A$17),F128,H128)</f>
        <v>5.178635E-3</v>
      </c>
    </row>
    <row r="129" spans="2:9" x14ac:dyDescent="0.25">
      <c r="B129">
        <v>0.75150300000000003</v>
      </c>
      <c r="C129" s="1">
        <v>5.045529E-3</v>
      </c>
      <c r="D129" s="1"/>
      <c r="E129">
        <f t="shared" si="4"/>
        <v>1.3115825618110546E-2</v>
      </c>
      <c r="F129" s="1">
        <f t="shared" si="5"/>
        <v>1.6544069628779919E-2</v>
      </c>
      <c r="G129" s="1">
        <f t="shared" si="6"/>
        <v>8.8095109589363708E-3</v>
      </c>
      <c r="H129">
        <f t="shared" si="3"/>
        <v>5.045529E-3</v>
      </c>
      <c r="I129">
        <f>IF(E129&lt;($A$17),F129,H129)</f>
        <v>5.045529E-3</v>
      </c>
    </row>
    <row r="130" spans="2:9" x14ac:dyDescent="0.25">
      <c r="B130">
        <v>0.75751500000000005</v>
      </c>
      <c r="C130" s="1">
        <v>4.8311200000000004E-3</v>
      </c>
      <c r="D130" s="1"/>
      <c r="E130">
        <f t="shared" si="4"/>
        <v>1.3220745714740086E-2</v>
      </c>
      <c r="F130" s="1">
        <f t="shared" si="5"/>
        <v>1.596775225934878E-2</v>
      </c>
      <c r="G130" s="1">
        <f t="shared" si="6"/>
        <v>8.4833058585525364E-3</v>
      </c>
      <c r="H130">
        <f t="shared" si="3"/>
        <v>4.8311200000000004E-3</v>
      </c>
      <c r="I130">
        <f>IF(E130&lt;($A$17),F130,H130)</f>
        <v>4.8311200000000004E-3</v>
      </c>
    </row>
    <row r="131" spans="2:9" x14ac:dyDescent="0.25">
      <c r="B131">
        <v>0.76352699999999996</v>
      </c>
      <c r="C131" s="1">
        <v>4.66688E-3</v>
      </c>
      <c r="D131" s="1"/>
      <c r="E131">
        <f t="shared" si="4"/>
        <v>1.3325665665807417E-2</v>
      </c>
      <c r="F131" s="1">
        <f t="shared" si="5"/>
        <v>1.5547320645610829E-2</v>
      </c>
      <c r="G131" s="1">
        <f t="shared" si="6"/>
        <v>8.2414218453321156E-3</v>
      </c>
      <c r="H131">
        <f t="shared" si="3"/>
        <v>4.66688E-3</v>
      </c>
      <c r="I131">
        <f>IF(E131&lt;($A$17),F131,H131)</f>
        <v>4.66688E-3</v>
      </c>
    </row>
    <row r="132" spans="2:9" x14ac:dyDescent="0.25">
      <c r="B132">
        <v>0.76953899999999997</v>
      </c>
      <c r="C132" s="1">
        <v>4.5213809999999997E-3</v>
      </c>
      <c r="D132" s="1"/>
      <c r="E132">
        <f t="shared" si="4"/>
        <v>1.3430585470157361E-2</v>
      </c>
      <c r="F132" s="1">
        <f t="shared" si="5"/>
        <v>1.518119849091139E-2</v>
      </c>
      <c r="G132" s="1">
        <f t="shared" si="6"/>
        <v>8.0295459265463266E-3</v>
      </c>
      <c r="H132">
        <f t="shared" si="3"/>
        <v>4.5213809999999997E-3</v>
      </c>
      <c r="I132">
        <f>IF(E132&lt;($A$17),F132,H132)</f>
        <v>4.5213809999999997E-3</v>
      </c>
    </row>
    <row r="133" spans="2:9" x14ac:dyDescent="0.25">
      <c r="B133">
        <v>0.77555099999999999</v>
      </c>
      <c r="C133" s="1">
        <v>4.3170680000000003E-3</v>
      </c>
      <c r="D133" s="1"/>
      <c r="E133">
        <f t="shared" si="4"/>
        <v>1.3535505126634734E-2</v>
      </c>
      <c r="F133" s="1">
        <f t="shared" si="5"/>
        <v>1.4608424011507689E-2</v>
      </c>
      <c r="G133" s="1">
        <f t="shared" si="6"/>
        <v>7.7097351243729222E-3</v>
      </c>
      <c r="H133">
        <f t="shared" ref="H133:H196" si="7">IF(E133&gt;($A$19),C133,G133)</f>
        <v>4.3170680000000003E-3</v>
      </c>
      <c r="I133">
        <f>IF(E133&lt;($A$17),F133,H133)</f>
        <v>4.3170680000000003E-3</v>
      </c>
    </row>
    <row r="134" spans="2:9" x14ac:dyDescent="0.25">
      <c r="B134">
        <v>0.78156300000000001</v>
      </c>
      <c r="C134" s="1">
        <v>4.241018E-3</v>
      </c>
      <c r="D134" s="1"/>
      <c r="E134">
        <f t="shared" ref="E134:E197" si="8">SIN(B134/180*PI())</f>
        <v>1.3640424634084358E-2</v>
      </c>
      <c r="F134" s="1">
        <f t="shared" ref="F134:F197" si="9">C134*$A$5/$A$7*SIN(B134/180*PI())</f>
        <v>1.4462321600198795E-2</v>
      </c>
      <c r="G134" s="1">
        <f t="shared" ref="G134:G197" si="10">C134*(1/2+($A$5/(2*$A$7)-$A$9/$A$7)*SIN(B134/180*PI()))</f>
        <v>7.6161912080755425E-3</v>
      </c>
      <c r="H134">
        <f t="shared" si="7"/>
        <v>4.241018E-3</v>
      </c>
      <c r="I134">
        <f>IF(E134&lt;($A$17),F134,H134)</f>
        <v>4.241018E-3</v>
      </c>
    </row>
    <row r="135" spans="2:9" x14ac:dyDescent="0.25">
      <c r="B135">
        <v>0.78757500000000003</v>
      </c>
      <c r="C135" s="1">
        <v>3.998499E-3</v>
      </c>
      <c r="D135" s="1"/>
      <c r="E135">
        <f t="shared" si="8"/>
        <v>1.3745343991351052E-2</v>
      </c>
      <c r="F135" s="1">
        <f t="shared" si="9"/>
        <v>1.3740186051018297E-2</v>
      </c>
      <c r="G135" s="1">
        <f t="shared" si="10"/>
        <v>7.2205201993869534E-3</v>
      </c>
      <c r="H135">
        <f t="shared" si="7"/>
        <v>3.998499E-3</v>
      </c>
      <c r="I135">
        <f>IF(E135&lt;($A$17),F135,H135)</f>
        <v>3.998499E-3</v>
      </c>
    </row>
    <row r="136" spans="2:9" x14ac:dyDescent="0.25">
      <c r="B136">
        <v>0.79358700000000004</v>
      </c>
      <c r="C136" s="1">
        <v>3.9804549999999999E-3</v>
      </c>
      <c r="D136" s="1"/>
      <c r="E136">
        <f t="shared" si="8"/>
        <v>1.3850263197279637E-2</v>
      </c>
      <c r="F136" s="1">
        <f t="shared" si="9"/>
        <v>1.3782587348731928E-2</v>
      </c>
      <c r="G136" s="1">
        <f t="shared" si="10"/>
        <v>7.2276106925181329E-3</v>
      </c>
      <c r="H136">
        <f t="shared" si="7"/>
        <v>3.9804549999999999E-3</v>
      </c>
      <c r="I136">
        <f>IF(E136&lt;($A$17),F136,H136)</f>
        <v>3.9804549999999999E-3</v>
      </c>
    </row>
    <row r="137" spans="2:9" x14ac:dyDescent="0.25">
      <c r="B137">
        <v>0.79959899999999995</v>
      </c>
      <c r="C137" s="1">
        <v>3.715019E-3</v>
      </c>
      <c r="D137" s="1"/>
      <c r="E137">
        <f t="shared" si="8"/>
        <v>1.3955182250714944E-2</v>
      </c>
      <c r="F137" s="1">
        <f t="shared" si="9"/>
        <v>1.2960941802467194E-2</v>
      </c>
      <c r="G137" s="1">
        <f t="shared" si="10"/>
        <v>6.7826673849375341E-3</v>
      </c>
      <c r="H137">
        <f t="shared" si="7"/>
        <v>3.715019E-3</v>
      </c>
      <c r="I137">
        <f>IF(E137&lt;($A$17),F137,H137)</f>
        <v>3.715019E-3</v>
      </c>
    </row>
    <row r="138" spans="2:9" x14ac:dyDescent="0.25">
      <c r="B138">
        <v>0.80561099999999997</v>
      </c>
      <c r="C138" s="1">
        <v>3.7303649999999998E-3</v>
      </c>
      <c r="D138" s="1"/>
      <c r="E138">
        <f t="shared" si="8"/>
        <v>1.40601011505018E-2</v>
      </c>
      <c r="F138" s="1">
        <f t="shared" si="9"/>
        <v>1.3112327307072912E-2</v>
      </c>
      <c r="G138" s="1">
        <f t="shared" si="10"/>
        <v>6.8478668766877061E-3</v>
      </c>
      <c r="H138">
        <f t="shared" si="7"/>
        <v>3.7303649999999998E-3</v>
      </c>
      <c r="I138">
        <f>IF(E138&lt;($A$17),F138,H138)</f>
        <v>3.7303649999999998E-3</v>
      </c>
    </row>
    <row r="139" spans="2:9" x14ac:dyDescent="0.25">
      <c r="B139">
        <v>0.81162299999999998</v>
      </c>
      <c r="C139" s="1">
        <v>3.4698329999999999E-3</v>
      </c>
      <c r="D139" s="1"/>
      <c r="E139">
        <f t="shared" si="8"/>
        <v>1.4165019895485034E-2</v>
      </c>
      <c r="F139" s="1">
        <f t="shared" si="9"/>
        <v>1.2287563369752631E-2</v>
      </c>
      <c r="G139" s="1">
        <f t="shared" si="10"/>
        <v>6.4041905805059997E-3</v>
      </c>
      <c r="H139">
        <f t="shared" si="7"/>
        <v>3.4698329999999999E-3</v>
      </c>
      <c r="I139">
        <f>IF(E139&lt;($A$17),F139,H139)</f>
        <v>3.4698329999999999E-3</v>
      </c>
    </row>
    <row r="140" spans="2:9" x14ac:dyDescent="0.25">
      <c r="B140">
        <v>0.817635</v>
      </c>
      <c r="C140" s="1">
        <v>3.4839599999999999E-3</v>
      </c>
      <c r="D140" s="1"/>
      <c r="E140">
        <f t="shared" si="8"/>
        <v>1.4269938484509472E-2</v>
      </c>
      <c r="F140" s="1">
        <f t="shared" si="9"/>
        <v>1.2428973720622905E-2</v>
      </c>
      <c r="G140" s="1">
        <f t="shared" si="10"/>
        <v>6.4649900138367038E-3</v>
      </c>
      <c r="H140">
        <f t="shared" si="7"/>
        <v>3.4839599999999999E-3</v>
      </c>
      <c r="I140">
        <f>IF(E140&lt;($A$17),F140,H140)</f>
        <v>3.4839599999999999E-3</v>
      </c>
    </row>
    <row r="141" spans="2:9" x14ac:dyDescent="0.25">
      <c r="B141">
        <v>0.82364700000000002</v>
      </c>
      <c r="C141" s="1">
        <v>3.2630630000000001E-3</v>
      </c>
      <c r="D141" s="1"/>
      <c r="E141">
        <f t="shared" si="8"/>
        <v>1.437485691641995E-2</v>
      </c>
      <c r="F141" s="1">
        <f t="shared" si="9"/>
        <v>1.1726515933566007E-2</v>
      </c>
      <c r="G141" s="1">
        <f t="shared" si="10"/>
        <v>6.0876075547550831E-3</v>
      </c>
      <c r="H141">
        <f t="shared" si="7"/>
        <v>3.2630630000000001E-3</v>
      </c>
      <c r="I141">
        <f>IF(E141&lt;($A$17),F141,H141)</f>
        <v>3.2630630000000001E-3</v>
      </c>
    </row>
    <row r="142" spans="2:9" x14ac:dyDescent="0.25">
      <c r="B142">
        <v>0.82965900000000004</v>
      </c>
      <c r="C142" s="1">
        <v>3.2392779999999999E-3</v>
      </c>
      <c r="D142" s="1"/>
      <c r="E142">
        <f t="shared" si="8"/>
        <v>1.4479775190061297E-2</v>
      </c>
      <c r="F142" s="1">
        <f t="shared" si="9"/>
        <v>1.1726004304527844E-2</v>
      </c>
      <c r="G142" s="1">
        <f t="shared" si="10"/>
        <v>6.0755206357205813E-3</v>
      </c>
      <c r="H142">
        <f t="shared" si="7"/>
        <v>3.2392779999999999E-3</v>
      </c>
      <c r="I142">
        <f>IF(E142&lt;($A$17),F142,H142)</f>
        <v>3.2392779999999999E-3</v>
      </c>
    </row>
    <row r="143" spans="2:9" x14ac:dyDescent="0.25">
      <c r="B143">
        <v>0.83567100000000005</v>
      </c>
      <c r="C143" s="1">
        <v>3.0896299999999999E-3</v>
      </c>
      <c r="D143" s="1"/>
      <c r="E143">
        <f t="shared" si="8"/>
        <v>1.4584693304278354E-2</v>
      </c>
      <c r="F143" s="1">
        <f t="shared" si="9"/>
        <v>1.126532649342438E-2</v>
      </c>
      <c r="G143" s="1">
        <f t="shared" si="10"/>
        <v>5.8256390675012646E-3</v>
      </c>
      <c r="H143">
        <f t="shared" si="7"/>
        <v>3.0896299999999999E-3</v>
      </c>
      <c r="I143">
        <f>IF(E143&lt;($A$17),F143,H143)</f>
        <v>3.0896299999999999E-3</v>
      </c>
    </row>
    <row r="144" spans="2:9" x14ac:dyDescent="0.25">
      <c r="B144">
        <v>0.84168299999999996</v>
      </c>
      <c r="C144" s="1">
        <v>3.0005380000000001E-3</v>
      </c>
      <c r="D144" s="1"/>
      <c r="E144">
        <f t="shared" si="8"/>
        <v>1.4689611257915952E-2</v>
      </c>
      <c r="F144" s="1">
        <f t="shared" si="9"/>
        <v>1.1019184196151152E-2</v>
      </c>
      <c r="G144" s="1">
        <f t="shared" si="10"/>
        <v>5.6875589945374391E-3</v>
      </c>
      <c r="H144">
        <f t="shared" si="7"/>
        <v>3.0005380000000001E-3</v>
      </c>
      <c r="I144">
        <f>IF(E144&lt;($A$17),F144,H144)</f>
        <v>3.0005380000000001E-3</v>
      </c>
    </row>
    <row r="145" spans="2:9" x14ac:dyDescent="0.25">
      <c r="B145">
        <v>0.84769499999999998</v>
      </c>
      <c r="C145" s="1">
        <v>2.9387950000000001E-3</v>
      </c>
      <c r="D145" s="1"/>
      <c r="E145">
        <f t="shared" si="8"/>
        <v>1.4794529049818938E-2</v>
      </c>
      <c r="F145" s="1">
        <f t="shared" si="9"/>
        <v>1.086952199974066E-2</v>
      </c>
      <c r="G145" s="1">
        <f t="shared" si="10"/>
        <v>5.5998158599014514E-3</v>
      </c>
      <c r="H145">
        <f t="shared" si="7"/>
        <v>2.9387950000000001E-3</v>
      </c>
      <c r="I145">
        <f>IF(E145&lt;($A$17),F145,H145)</f>
        <v>2.9387950000000001E-3</v>
      </c>
    </row>
    <row r="146" spans="2:9" x14ac:dyDescent="0.25">
      <c r="B146">
        <v>0.85370699999999999</v>
      </c>
      <c r="C146" s="1">
        <v>2.7774570000000001E-3</v>
      </c>
      <c r="D146" s="1"/>
      <c r="E146">
        <f t="shared" si="8"/>
        <v>1.4899446678832149E-2</v>
      </c>
      <c r="F146" s="1">
        <f t="shared" si="9"/>
        <v>1.0345643118562274E-2</v>
      </c>
      <c r="G146" s="1">
        <f t="shared" si="10"/>
        <v>5.3200728850536652E-3</v>
      </c>
      <c r="H146">
        <f t="shared" si="7"/>
        <v>2.7774570000000001E-3</v>
      </c>
      <c r="I146">
        <f>IF(E146&lt;($A$17),F146,H146)</f>
        <v>2.7774570000000001E-3</v>
      </c>
    </row>
    <row r="147" spans="2:9" x14ac:dyDescent="0.25">
      <c r="B147">
        <v>0.85971900000000001</v>
      </c>
      <c r="C147" s="1">
        <v>2.7960120000000001E-3</v>
      </c>
      <c r="D147" s="1"/>
      <c r="E147">
        <f t="shared" si="8"/>
        <v>1.5004364143800427E-2</v>
      </c>
      <c r="F147" s="1">
        <f t="shared" si="9"/>
        <v>1.0488095549608929E-2</v>
      </c>
      <c r="G147" s="1">
        <f t="shared" si="10"/>
        <v>5.3834823088513934E-3</v>
      </c>
      <c r="H147">
        <f t="shared" si="7"/>
        <v>2.7960120000000001E-3</v>
      </c>
      <c r="I147">
        <f>IF(E147&lt;($A$17),F147,H147)</f>
        <v>2.7960120000000001E-3</v>
      </c>
    </row>
    <row r="148" spans="2:9" x14ac:dyDescent="0.25">
      <c r="B148">
        <v>0.86573100000000003</v>
      </c>
      <c r="C148" s="1">
        <v>2.5821099999999999E-3</v>
      </c>
      <c r="D148" s="1"/>
      <c r="E148">
        <f t="shared" si="8"/>
        <v>1.510928144356862E-2</v>
      </c>
      <c r="F148" s="1">
        <f t="shared" si="9"/>
        <v>9.7534566770632412E-3</v>
      </c>
      <c r="G148" s="1">
        <f t="shared" si="10"/>
        <v>4.9973685372840318E-3</v>
      </c>
      <c r="H148">
        <f t="shared" si="7"/>
        <v>2.5821099999999999E-3</v>
      </c>
      <c r="I148">
        <f>IF(E148&lt;($A$17),F148,H148)</f>
        <v>2.5821099999999999E-3</v>
      </c>
    </row>
    <row r="149" spans="2:9" x14ac:dyDescent="0.25">
      <c r="B149">
        <v>0.87174300000000005</v>
      </c>
      <c r="C149" s="1">
        <v>2.6470719999999999E-3</v>
      </c>
      <c r="D149" s="1"/>
      <c r="E149">
        <f t="shared" si="8"/>
        <v>1.5214198576981565E-2</v>
      </c>
      <c r="F149" s="1">
        <f t="shared" si="9"/>
        <v>1.0068269763891935E-2</v>
      </c>
      <c r="G149" s="1">
        <f t="shared" si="10"/>
        <v>5.1494785102789353E-3</v>
      </c>
      <c r="H149">
        <f t="shared" si="7"/>
        <v>2.6470719999999999E-3</v>
      </c>
      <c r="I149">
        <f>IF(E149&lt;($A$17),F149,H149)</f>
        <v>2.6470719999999999E-3</v>
      </c>
    </row>
    <row r="150" spans="2:9" x14ac:dyDescent="0.25">
      <c r="B150">
        <v>0.87775499999999995</v>
      </c>
      <c r="C150" s="1">
        <v>2.423878E-3</v>
      </c>
      <c r="D150" s="1"/>
      <c r="E150">
        <f t="shared" si="8"/>
        <v>1.5319115542884119E-2</v>
      </c>
      <c r="F150" s="1">
        <f t="shared" si="9"/>
        <v>9.2829167859637164E-3</v>
      </c>
      <c r="G150" s="1">
        <f t="shared" si="10"/>
        <v>4.7394473786662129E-3</v>
      </c>
      <c r="H150">
        <f t="shared" si="7"/>
        <v>2.423878E-3</v>
      </c>
      <c r="I150">
        <f>IF(E150&lt;($A$17),F150,H150)</f>
        <v>2.423878E-3</v>
      </c>
    </row>
    <row r="151" spans="2:9" x14ac:dyDescent="0.25">
      <c r="B151">
        <v>0.88376699999999997</v>
      </c>
      <c r="C151" s="1">
        <v>2.483514E-3</v>
      </c>
      <c r="D151" s="1"/>
      <c r="E151">
        <f t="shared" si="8"/>
        <v>1.542403234012113E-2</v>
      </c>
      <c r="F151" s="1">
        <f t="shared" si="9"/>
        <v>9.5764500632858976E-3</v>
      </c>
      <c r="G151" s="1">
        <f t="shared" si="10"/>
        <v>4.8808080240486411E-3</v>
      </c>
      <c r="H151">
        <f t="shared" si="7"/>
        <v>2.483514E-3</v>
      </c>
      <c r="I151">
        <f>IF(E151&lt;($A$17),F151,H151)</f>
        <v>2.483514E-3</v>
      </c>
    </row>
    <row r="152" spans="2:9" x14ac:dyDescent="0.25">
      <c r="B152">
        <v>0.88978000000000002</v>
      </c>
      <c r="C152" s="1">
        <v>2.304258E-3</v>
      </c>
      <c r="D152" s="1"/>
      <c r="E152">
        <f t="shared" si="8"/>
        <v>1.5528966418725426E-2</v>
      </c>
      <c r="F152" s="1">
        <f t="shared" si="9"/>
        <v>8.945686275519853E-3</v>
      </c>
      <c r="G152" s="1">
        <f t="shared" si="10"/>
        <v>4.5514897846975436E-3</v>
      </c>
      <c r="H152">
        <f t="shared" si="7"/>
        <v>2.304258E-3</v>
      </c>
      <c r="I152">
        <f>IF(E152&lt;($A$17),F152,H152)</f>
        <v>2.304258E-3</v>
      </c>
    </row>
    <row r="153" spans="2:9" x14ac:dyDescent="0.25">
      <c r="B153">
        <v>0.89579200000000003</v>
      </c>
      <c r="C153" s="1">
        <v>2.3068440000000002E-3</v>
      </c>
      <c r="D153" s="1"/>
      <c r="E153">
        <f t="shared" si="8"/>
        <v>1.5633882875137374E-2</v>
      </c>
      <c r="F153" s="1">
        <f t="shared" si="9"/>
        <v>9.0162322268033494E-3</v>
      </c>
      <c r="G153" s="1">
        <f t="shared" si="10"/>
        <v>4.5795902461852733E-3</v>
      </c>
      <c r="H153">
        <f t="shared" si="7"/>
        <v>2.3068440000000002E-3</v>
      </c>
      <c r="I153">
        <f>IF(E153&lt;($A$17),F153,H153)</f>
        <v>2.3068440000000002E-3</v>
      </c>
    </row>
    <row r="154" spans="2:9" x14ac:dyDescent="0.25">
      <c r="B154">
        <v>0.90180400000000005</v>
      </c>
      <c r="C154" s="1">
        <v>2.2140800000000002E-3</v>
      </c>
      <c r="D154" s="1"/>
      <c r="E154">
        <f t="shared" si="8"/>
        <v>1.5738799159418143E-2</v>
      </c>
      <c r="F154" s="1">
        <f t="shared" si="9"/>
        <v>8.711740110721131E-3</v>
      </c>
      <c r="G154" s="1">
        <f t="shared" si="10"/>
        <v>4.41750124207403E-3</v>
      </c>
      <c r="H154">
        <f t="shared" si="7"/>
        <v>2.2140800000000002E-3</v>
      </c>
      <c r="I154">
        <f>IF(E154&lt;($A$17),F154,H154)</f>
        <v>2.2140800000000002E-3</v>
      </c>
    </row>
    <row r="155" spans="2:9" x14ac:dyDescent="0.25">
      <c r="B155">
        <v>0.90781599999999996</v>
      </c>
      <c r="C155" s="1">
        <v>2.129297E-3</v>
      </c>
      <c r="D155" s="1"/>
      <c r="E155">
        <f t="shared" si="8"/>
        <v>1.5843715270412593E-2</v>
      </c>
      <c r="F155" s="1">
        <f t="shared" si="9"/>
        <v>8.4339938485359298E-3</v>
      </c>
      <c r="G155" s="1">
        <f t="shared" si="10"/>
        <v>4.2695661624436538E-3</v>
      </c>
      <c r="H155">
        <f t="shared" si="7"/>
        <v>2.129297E-3</v>
      </c>
      <c r="I155">
        <f>IF(E155&lt;($A$17),F155,H155)</f>
        <v>2.129297E-3</v>
      </c>
    </row>
    <row r="156" spans="2:9" x14ac:dyDescent="0.25">
      <c r="B156">
        <v>0.91382799999999997</v>
      </c>
      <c r="C156" s="1">
        <v>2.1351439999999998E-3</v>
      </c>
      <c r="D156" s="1"/>
      <c r="E156">
        <f t="shared" si="8"/>
        <v>1.5948631206965595E-2</v>
      </c>
      <c r="F156" s="1">
        <f t="shared" si="9"/>
        <v>8.5131560574413373E-3</v>
      </c>
      <c r="G156" s="1">
        <f t="shared" si="10"/>
        <v>4.3025713018277076E-3</v>
      </c>
      <c r="H156">
        <f t="shared" si="7"/>
        <v>2.1351439999999998E-3</v>
      </c>
      <c r="I156">
        <f>IF(E156&lt;($A$17),F156,H156)</f>
        <v>2.1351439999999998E-3</v>
      </c>
    </row>
    <row r="157" spans="2:9" x14ac:dyDescent="0.25">
      <c r="B157">
        <v>0.91983999999999999</v>
      </c>
      <c r="C157" s="1">
        <v>1.9696449999999999E-3</v>
      </c>
      <c r="D157" s="1"/>
      <c r="E157">
        <f t="shared" si="8"/>
        <v>1.6053546967921994E-2</v>
      </c>
      <c r="F157" s="1">
        <f t="shared" si="9"/>
        <v>7.9049471294081793E-3</v>
      </c>
      <c r="G157" s="1">
        <f t="shared" si="10"/>
        <v>3.9887024091751081E-3</v>
      </c>
      <c r="H157">
        <f t="shared" si="7"/>
        <v>1.9696449999999999E-3</v>
      </c>
      <c r="I157">
        <f>IF(E157&lt;($A$17),F157,H157)</f>
        <v>1.9696449999999999E-3</v>
      </c>
    </row>
    <row r="158" spans="2:9" x14ac:dyDescent="0.25">
      <c r="B158">
        <v>0.92585200000000001</v>
      </c>
      <c r="C158" s="1">
        <v>2.0466429999999999E-3</v>
      </c>
      <c r="D158" s="1"/>
      <c r="E158">
        <f t="shared" si="8"/>
        <v>1.6158462552126655E-2</v>
      </c>
      <c r="F158" s="1">
        <f t="shared" si="9"/>
        <v>8.2676510682680379E-3</v>
      </c>
      <c r="G158" s="1">
        <f t="shared" si="10"/>
        <v>4.1650289059418548E-3</v>
      </c>
      <c r="H158">
        <f t="shared" si="7"/>
        <v>2.0466429999999999E-3</v>
      </c>
      <c r="I158">
        <f>IF(E158&lt;($A$17),F158,H158)</f>
        <v>2.0466429999999999E-3</v>
      </c>
    </row>
    <row r="159" spans="2:9" x14ac:dyDescent="0.25">
      <c r="B159">
        <v>0.93186400000000003</v>
      </c>
      <c r="C159" s="1">
        <v>1.845029E-3</v>
      </c>
      <c r="D159" s="1"/>
      <c r="E159">
        <f t="shared" si="8"/>
        <v>1.6263377958424453E-2</v>
      </c>
      <c r="F159" s="1">
        <f t="shared" si="9"/>
        <v>7.501600992813477E-3</v>
      </c>
      <c r="G159" s="1">
        <f t="shared" si="10"/>
        <v>3.7731228772691209E-3</v>
      </c>
      <c r="H159">
        <f t="shared" si="7"/>
        <v>1.845029E-3</v>
      </c>
      <c r="I159">
        <f>IF(E159&lt;($A$17),F159,H159)</f>
        <v>1.845029E-3</v>
      </c>
    </row>
    <row r="160" spans="2:9" x14ac:dyDescent="0.25">
      <c r="B160">
        <v>0.93787600000000004</v>
      </c>
      <c r="C160" s="1">
        <v>1.9342560000000001E-3</v>
      </c>
      <c r="D160" s="1"/>
      <c r="E160">
        <f t="shared" si="8"/>
        <v>1.6368293185660254E-2</v>
      </c>
      <c r="F160" s="1">
        <f t="shared" si="9"/>
        <v>7.915117326030615E-3</v>
      </c>
      <c r="G160" s="1">
        <f t="shared" si="10"/>
        <v>3.9748725838916338E-3</v>
      </c>
      <c r="H160">
        <f t="shared" si="7"/>
        <v>1.9342560000000001E-3</v>
      </c>
      <c r="I160">
        <f>IF(E160&lt;($A$17),F160,H160)</f>
        <v>1.9342560000000001E-3</v>
      </c>
    </row>
    <row r="161" spans="2:9" x14ac:dyDescent="0.25">
      <c r="B161">
        <v>0.94388799999999995</v>
      </c>
      <c r="C161" s="1">
        <v>1.761997E-3</v>
      </c>
      <c r="D161" s="1"/>
      <c r="E161">
        <f t="shared" si="8"/>
        <v>1.6473208232678914E-2</v>
      </c>
      <c r="F161" s="1">
        <f t="shared" si="9"/>
        <v>7.2564358715888864E-3</v>
      </c>
      <c r="G161" s="1">
        <f t="shared" si="10"/>
        <v>3.6384441312037772E-3</v>
      </c>
      <c r="H161">
        <f t="shared" si="7"/>
        <v>1.761997E-3</v>
      </c>
      <c r="I161">
        <f>IF(E161&lt;($A$17),F161,H161)</f>
        <v>1.761997E-3</v>
      </c>
    </row>
    <row r="162" spans="2:9" x14ac:dyDescent="0.25">
      <c r="B162">
        <v>0.94989999999999997</v>
      </c>
      <c r="C162" s="1">
        <v>1.797678E-3</v>
      </c>
      <c r="D162" s="1"/>
      <c r="E162">
        <f t="shared" si="8"/>
        <v>1.6578123098325317E-2</v>
      </c>
      <c r="F162" s="1">
        <f t="shared" si="9"/>
        <v>7.4505317937878139E-3</v>
      </c>
      <c r="G162" s="1">
        <f t="shared" si="10"/>
        <v>3.7300410816393697E-3</v>
      </c>
      <c r="H162">
        <f t="shared" si="7"/>
        <v>1.797678E-3</v>
      </c>
      <c r="I162">
        <f>IF(E162&lt;($A$17),F162,H162)</f>
        <v>1.797678E-3</v>
      </c>
    </row>
    <row r="163" spans="2:9" x14ac:dyDescent="0.25">
      <c r="B163">
        <v>0.95591199999999998</v>
      </c>
      <c r="C163" s="1">
        <v>1.711427E-3</v>
      </c>
      <c r="D163" s="1"/>
      <c r="E163">
        <f t="shared" si="8"/>
        <v>1.6683037781444338E-2</v>
      </c>
      <c r="F163" s="1">
        <f t="shared" si="9"/>
        <v>7.1379503252959851E-3</v>
      </c>
      <c r="G163" s="1">
        <f t="shared" si="10"/>
        <v>3.5681346236124743E-3</v>
      </c>
      <c r="H163">
        <f t="shared" si="7"/>
        <v>1.711427E-3</v>
      </c>
      <c r="I163">
        <f>IF(E163&lt;($A$17),F163,H163)</f>
        <v>1.711427E-3</v>
      </c>
    </row>
    <row r="164" spans="2:9" x14ac:dyDescent="0.25">
      <c r="B164">
        <v>0.961924</v>
      </c>
      <c r="C164" s="1">
        <v>1.6522609999999999E-3</v>
      </c>
      <c r="D164" s="1"/>
      <c r="E164">
        <f t="shared" si="8"/>
        <v>1.6787952280880838E-2</v>
      </c>
      <c r="F164" s="1">
        <f t="shared" si="9"/>
        <v>6.9345197058901121E-3</v>
      </c>
      <c r="G164" s="1">
        <f t="shared" si="10"/>
        <v>3.4612479882382432E-3</v>
      </c>
      <c r="H164">
        <f t="shared" si="7"/>
        <v>1.6522609999999999E-3</v>
      </c>
      <c r="I164">
        <f>IF(E164&lt;($A$17),F164,H164)</f>
        <v>1.6522609999999999E-3</v>
      </c>
    </row>
    <row r="165" spans="2:9" x14ac:dyDescent="0.25">
      <c r="B165">
        <v>0.96793600000000002</v>
      </c>
      <c r="C165" s="1">
        <v>1.6709030000000001E-3</v>
      </c>
      <c r="D165" s="1"/>
      <c r="E165">
        <f t="shared" si="8"/>
        <v>1.6892866595479703E-2</v>
      </c>
      <c r="F165" s="1">
        <f t="shared" si="9"/>
        <v>7.0565853682467046E-3</v>
      </c>
      <c r="G165" s="1">
        <f t="shared" si="10"/>
        <v>3.5169539399337482E-3</v>
      </c>
      <c r="H165">
        <f t="shared" si="7"/>
        <v>1.6709030000000001E-3</v>
      </c>
      <c r="I165">
        <f>IF(E165&lt;($A$17),F165,H165)</f>
        <v>1.6709030000000001E-3</v>
      </c>
    </row>
    <row r="166" spans="2:9" x14ac:dyDescent="0.25">
      <c r="B166">
        <v>0.97394800000000004</v>
      </c>
      <c r="C166" s="1">
        <v>1.5226040000000001E-3</v>
      </c>
      <c r="D166" s="1"/>
      <c r="E166">
        <f t="shared" si="8"/>
        <v>1.6997780724085816E-2</v>
      </c>
      <c r="F166" s="1">
        <f t="shared" si="9"/>
        <v>6.4702222304039905E-3</v>
      </c>
      <c r="G166" s="1">
        <f t="shared" si="10"/>
        <v>3.2199864475535162E-3</v>
      </c>
      <c r="H166">
        <f t="shared" si="7"/>
        <v>1.5226040000000001E-3</v>
      </c>
      <c r="I166">
        <f>IF(E166&lt;($A$17),F166,H166)</f>
        <v>1.5226040000000001E-3</v>
      </c>
    </row>
    <row r="167" spans="2:9" x14ac:dyDescent="0.25">
      <c r="B167">
        <v>0.97996000000000005</v>
      </c>
      <c r="C167" s="1">
        <v>1.614615E-3</v>
      </c>
      <c r="D167" s="1"/>
      <c r="E167">
        <f t="shared" si="8"/>
        <v>1.7102694665544056E-2</v>
      </c>
      <c r="F167" s="1">
        <f t="shared" si="9"/>
        <v>6.9035668368518533E-3</v>
      </c>
      <c r="G167" s="1">
        <f t="shared" si="10"/>
        <v>3.4306628980037045E-3</v>
      </c>
      <c r="H167">
        <f t="shared" si="7"/>
        <v>1.614615E-3</v>
      </c>
      <c r="I167">
        <f>IF(E167&lt;($A$17),F167,H167)</f>
        <v>1.614615E-3</v>
      </c>
    </row>
    <row r="168" spans="2:9" x14ac:dyDescent="0.25">
      <c r="B168">
        <v>0.98597199999999996</v>
      </c>
      <c r="C168" s="1">
        <v>1.430225E-3</v>
      </c>
      <c r="D168" s="1"/>
      <c r="E168">
        <f t="shared" si="8"/>
        <v>1.7207608418699293E-2</v>
      </c>
      <c r="F168" s="1">
        <f t="shared" si="9"/>
        <v>6.1526879376585485E-3</v>
      </c>
      <c r="G168" s="1">
        <f t="shared" si="10"/>
        <v>3.0531339163102486E-3</v>
      </c>
      <c r="H168">
        <f t="shared" si="7"/>
        <v>1.430225E-3</v>
      </c>
      <c r="I168">
        <f>IF(E168&lt;($A$17),F168,H168)</f>
        <v>1.430225E-3</v>
      </c>
    </row>
    <row r="169" spans="2:9" x14ac:dyDescent="0.25">
      <c r="B169">
        <v>0.99198399999999998</v>
      </c>
      <c r="C169" s="1">
        <v>1.5265389999999999E-3</v>
      </c>
      <c r="D169" s="1"/>
      <c r="E169">
        <f t="shared" si="8"/>
        <v>1.7312521982396429E-2</v>
      </c>
      <c r="F169" s="1">
        <f t="shared" si="9"/>
        <v>6.6070599986213637E-3</v>
      </c>
      <c r="G169" s="1">
        <f t="shared" si="10"/>
        <v>3.2739522994761189E-3</v>
      </c>
      <c r="H169">
        <f t="shared" si="7"/>
        <v>1.5265389999999999E-3</v>
      </c>
      <c r="I169">
        <f>IF(E169&lt;($A$17),F169,H169)</f>
        <v>1.5265389999999999E-3</v>
      </c>
    </row>
    <row r="170" spans="2:9" x14ac:dyDescent="0.25">
      <c r="B170">
        <v>0.99799599999999999</v>
      </c>
      <c r="C170" s="1">
        <v>1.3812760000000001E-3</v>
      </c>
      <c r="D170" s="1"/>
      <c r="E170">
        <f t="shared" si="8"/>
        <v>1.7417435355480348E-2</v>
      </c>
      <c r="F170" s="1">
        <f t="shared" si="9"/>
        <v>6.0145713595191191E-3</v>
      </c>
      <c r="G170" s="1">
        <f t="shared" si="10"/>
        <v>2.9761751166172651E-3</v>
      </c>
      <c r="H170">
        <f t="shared" si="7"/>
        <v>1.3812760000000001E-3</v>
      </c>
      <c r="I170">
        <f>IF(E170&lt;($A$17),F170,H170)</f>
        <v>1.3812760000000001E-3</v>
      </c>
    </row>
    <row r="171" spans="2:9" x14ac:dyDescent="0.25">
      <c r="B171">
        <v>1.0040100000000001</v>
      </c>
      <c r="C171" s="1">
        <v>1.4099360000000001E-3</v>
      </c>
      <c r="D171" s="1"/>
      <c r="E171">
        <f t="shared" si="8"/>
        <v>1.7522383438021823E-2</v>
      </c>
      <c r="F171" s="1">
        <f t="shared" si="9"/>
        <v>6.1763598037676837E-3</v>
      </c>
      <c r="G171" s="1">
        <f t="shared" si="10"/>
        <v>3.0519847254317197E-3</v>
      </c>
      <c r="H171">
        <f t="shared" si="7"/>
        <v>1.4099360000000001E-3</v>
      </c>
      <c r="I171">
        <f>IF(E171&lt;($A$17),F171,H171)</f>
        <v>1.4099360000000001E-3</v>
      </c>
    </row>
    <row r="172" spans="2:9" x14ac:dyDescent="0.25">
      <c r="B172">
        <v>1.0100199999999999</v>
      </c>
      <c r="C172" s="1">
        <v>1.3614009999999999E-3</v>
      </c>
      <c r="D172" s="1"/>
      <c r="E172">
        <f t="shared" si="8"/>
        <v>1.7627261525188079E-2</v>
      </c>
      <c r="F172" s="1">
        <f t="shared" si="9"/>
        <v>5.9994428669131435E-3</v>
      </c>
      <c r="G172" s="1">
        <f t="shared" si="10"/>
        <v>2.960488789426995E-3</v>
      </c>
      <c r="H172">
        <f t="shared" si="7"/>
        <v>1.3614009999999999E-3</v>
      </c>
      <c r="I172">
        <f>IF(E172&lt;($A$17),F172,H172)</f>
        <v>1.3614009999999999E-3</v>
      </c>
    </row>
    <row r="173" spans="2:9" x14ac:dyDescent="0.25">
      <c r="B173">
        <v>1.01603</v>
      </c>
      <c r="C173" s="1">
        <v>1.286988E-3</v>
      </c>
      <c r="D173" s="1"/>
      <c r="E173">
        <f t="shared" si="8"/>
        <v>1.7732139418404909E-2</v>
      </c>
      <c r="F173" s="1">
        <f t="shared" si="9"/>
        <v>5.7052626614535239E-3</v>
      </c>
      <c r="G173" s="1">
        <f t="shared" si="10"/>
        <v>2.811493811352339E-3</v>
      </c>
      <c r="H173">
        <f t="shared" si="7"/>
        <v>1.286988E-3</v>
      </c>
      <c r="I173">
        <f>IF(E173&lt;($A$17),F173,H173)</f>
        <v>1.286988E-3</v>
      </c>
    </row>
    <row r="174" spans="2:9" x14ac:dyDescent="0.25">
      <c r="B174">
        <v>1.0220400000000001</v>
      </c>
      <c r="C174" s="1">
        <v>1.341964E-3</v>
      </c>
      <c r="D174" s="1"/>
      <c r="E174">
        <f t="shared" si="8"/>
        <v>1.7837017116518344E-2</v>
      </c>
      <c r="F174" s="1">
        <f t="shared" si="9"/>
        <v>5.9841587094378555E-3</v>
      </c>
      <c r="G174" s="1">
        <f t="shared" si="10"/>
        <v>2.9449623095863854E-3</v>
      </c>
      <c r="H174">
        <f t="shared" si="7"/>
        <v>1.341964E-3</v>
      </c>
      <c r="I174">
        <f>IF(E174&lt;($A$17),F174,H174)</f>
        <v>1.341964E-3</v>
      </c>
    </row>
    <row r="175" spans="2:9" x14ac:dyDescent="0.25">
      <c r="B175">
        <v>1.02806</v>
      </c>
      <c r="C175" s="1">
        <v>1.1873400000000001E-3</v>
      </c>
      <c r="D175" s="1"/>
      <c r="E175">
        <f t="shared" si="8"/>
        <v>1.7942069123205014E-2</v>
      </c>
      <c r="F175" s="1">
        <f t="shared" si="9"/>
        <v>5.3258340881865603E-3</v>
      </c>
      <c r="G175" s="1">
        <f t="shared" si="10"/>
        <v>2.6174869535108927E-3</v>
      </c>
      <c r="H175">
        <f t="shared" si="7"/>
        <v>1.1873400000000001E-3</v>
      </c>
      <c r="I175">
        <f>IF(E175&lt;($A$17),F175,H175)</f>
        <v>1.1873400000000001E-3</v>
      </c>
    </row>
    <row r="176" spans="2:9" x14ac:dyDescent="0.25">
      <c r="B176">
        <v>1.03407</v>
      </c>
      <c r="C176" s="1">
        <v>1.29531E-3</v>
      </c>
      <c r="D176" s="1"/>
      <c r="E176">
        <f t="shared" si="8"/>
        <v>1.8046946427320392E-2</v>
      </c>
      <c r="F176" s="1">
        <f t="shared" si="9"/>
        <v>5.8440975441930937E-3</v>
      </c>
      <c r="G176" s="1">
        <f t="shared" si="10"/>
        <v>2.8684120667933754E-3</v>
      </c>
      <c r="H176">
        <f t="shared" si="7"/>
        <v>1.29531E-3</v>
      </c>
      <c r="I176">
        <f>IF(E176&lt;($A$17),F176,H176)</f>
        <v>1.29531E-3</v>
      </c>
    </row>
    <row r="177" spans="2:9" x14ac:dyDescent="0.25">
      <c r="B177">
        <v>1.0400799999999999</v>
      </c>
      <c r="C177" s="1">
        <v>1.1310459999999999E-3</v>
      </c>
      <c r="D177" s="1"/>
      <c r="E177">
        <f t="shared" si="8"/>
        <v>1.8151823532868611E-2</v>
      </c>
      <c r="F177" s="1">
        <f t="shared" si="9"/>
        <v>5.132636849889227E-3</v>
      </c>
      <c r="G177" s="1">
        <f t="shared" si="10"/>
        <v>2.5159250029579061E-3</v>
      </c>
      <c r="H177">
        <f t="shared" si="7"/>
        <v>1.1310459999999999E-3</v>
      </c>
      <c r="I177">
        <f>IF(E177&lt;($A$17),F177,H177)</f>
        <v>1.1310459999999999E-3</v>
      </c>
    </row>
    <row r="178" spans="2:9" x14ac:dyDescent="0.25">
      <c r="B178">
        <v>1.04609</v>
      </c>
      <c r="C178" s="1">
        <v>1.2110650000000001E-3</v>
      </c>
      <c r="D178" s="1"/>
      <c r="E178">
        <f t="shared" si="8"/>
        <v>1.8256700438695737E-2</v>
      </c>
      <c r="F178" s="1">
        <f t="shared" si="9"/>
        <v>5.5275127291972634E-3</v>
      </c>
      <c r="G178" s="1">
        <f t="shared" si="10"/>
        <v>2.70598733709496E-3</v>
      </c>
      <c r="H178">
        <f t="shared" si="7"/>
        <v>1.2110650000000001E-3</v>
      </c>
      <c r="I178">
        <f>IF(E178&lt;($A$17),F178,H178)</f>
        <v>1.2110650000000001E-3</v>
      </c>
    </row>
    <row r="179" spans="2:9" x14ac:dyDescent="0.25">
      <c r="B179">
        <v>1.0521</v>
      </c>
      <c r="C179" s="1">
        <v>1.1156779999999999E-3</v>
      </c>
      <c r="D179" s="1"/>
      <c r="E179">
        <f t="shared" si="8"/>
        <v>1.8361577143647827E-2</v>
      </c>
      <c r="F179" s="1">
        <f t="shared" si="9"/>
        <v>5.1214019161176794E-3</v>
      </c>
      <c r="G179" s="1">
        <f t="shared" si="10"/>
        <v>2.5039717281247183E-3</v>
      </c>
      <c r="H179">
        <f t="shared" si="7"/>
        <v>1.1156779999999999E-3</v>
      </c>
      <c r="I179">
        <f>IF(E179&lt;($A$17),F179,H179)</f>
        <v>1.1156779999999999E-3</v>
      </c>
    </row>
    <row r="180" spans="2:9" x14ac:dyDescent="0.25">
      <c r="B180">
        <v>1.0581199999999999</v>
      </c>
      <c r="C180" s="1">
        <v>1.1033219999999999E-3</v>
      </c>
      <c r="D180" s="1"/>
      <c r="E180">
        <f t="shared" si="8"/>
        <v>1.8466628149734592E-2</v>
      </c>
      <c r="F180" s="1">
        <f t="shared" si="9"/>
        <v>5.0936592758553667E-3</v>
      </c>
      <c r="G180" s="1">
        <f t="shared" si="10"/>
        <v>2.4872515248250395E-3</v>
      </c>
      <c r="H180">
        <f t="shared" si="7"/>
        <v>1.1033219999999999E-3</v>
      </c>
      <c r="I180">
        <f>IF(E180&lt;($A$17),F180,H180)</f>
        <v>1.1033219999999999E-3</v>
      </c>
    </row>
    <row r="181" spans="2:9" x14ac:dyDescent="0.25">
      <c r="B181">
        <v>1.06413</v>
      </c>
      <c r="C181" s="1">
        <v>1.1162139999999999E-3</v>
      </c>
      <c r="D181" s="1"/>
      <c r="E181">
        <f t="shared" si="8"/>
        <v>1.8571504449135759E-2</v>
      </c>
      <c r="F181" s="1">
        <f t="shared" si="9"/>
        <v>5.1824433167969048E-3</v>
      </c>
      <c r="G181" s="1">
        <f t="shared" si="10"/>
        <v>2.5274354603828236E-3</v>
      </c>
      <c r="H181">
        <f t="shared" si="7"/>
        <v>1.1162139999999999E-3</v>
      </c>
      <c r="I181">
        <f>IF(E181&lt;($A$17),F181,H181)</f>
        <v>1.1162139999999999E-3</v>
      </c>
    </row>
    <row r="182" spans="2:9" x14ac:dyDescent="0.25">
      <c r="B182">
        <v>1.0701400000000001</v>
      </c>
      <c r="C182" s="1">
        <v>1.003288E-3</v>
      </c>
      <c r="D182" s="1"/>
      <c r="E182">
        <f t="shared" si="8"/>
        <v>1.8676380544198162E-2</v>
      </c>
      <c r="F182" s="1">
        <f t="shared" si="9"/>
        <v>4.684447120856871E-3</v>
      </c>
      <c r="G182" s="1">
        <f t="shared" si="10"/>
        <v>2.2817339059256112E-3</v>
      </c>
      <c r="H182">
        <f t="shared" si="7"/>
        <v>1.003288E-3</v>
      </c>
      <c r="I182">
        <f>IF(E182&lt;($A$17),F182,H182)</f>
        <v>1.003288E-3</v>
      </c>
    </row>
    <row r="183" spans="2:9" x14ac:dyDescent="0.25">
      <c r="B183">
        <v>1.0761499999999999</v>
      </c>
      <c r="C183" s="1">
        <v>1.099116E-3</v>
      </c>
      <c r="D183" s="1"/>
      <c r="E183">
        <f t="shared" si="8"/>
        <v>1.8781256433767865E-2</v>
      </c>
      <c r="F183" s="1">
        <f t="shared" si="9"/>
        <v>5.1606948616143003E-3</v>
      </c>
      <c r="G183" s="1">
        <f t="shared" si="10"/>
        <v>2.5106220474134344E-3</v>
      </c>
      <c r="H183">
        <f t="shared" si="7"/>
        <v>1.099116E-3</v>
      </c>
      <c r="I183">
        <f>IF(E183&lt;($A$17),F183,H183)</f>
        <v>1.099116E-3</v>
      </c>
    </row>
    <row r="184" spans="2:9" x14ac:dyDescent="0.25">
      <c r="B184">
        <v>1.08216</v>
      </c>
      <c r="C184" s="1">
        <v>9.4045789999999999E-4</v>
      </c>
      <c r="D184" s="1"/>
      <c r="E184">
        <f t="shared" si="8"/>
        <v>1.8886132116690945E-2</v>
      </c>
      <c r="F184" s="1">
        <f t="shared" si="9"/>
        <v>4.4404030373964305E-3</v>
      </c>
      <c r="G184" s="1">
        <f t="shared" si="10"/>
        <v>2.1575821042106431E-3</v>
      </c>
      <c r="H184">
        <f t="shared" si="7"/>
        <v>9.4045789999999999E-4</v>
      </c>
      <c r="I184">
        <f>IF(E184&lt;($A$17),F184,H184)</f>
        <v>9.4045789999999999E-4</v>
      </c>
    </row>
    <row r="185" spans="2:9" x14ac:dyDescent="0.25">
      <c r="B185">
        <v>1.0881799999999999</v>
      </c>
      <c r="C185" s="1">
        <v>1.0429739999999999E-3</v>
      </c>
      <c r="D185" s="1"/>
      <c r="E185">
        <f t="shared" si="8"/>
        <v>1.8991182093262154E-2</v>
      </c>
      <c r="F185" s="1">
        <f t="shared" si="9"/>
        <v>4.9518272881344996E-3</v>
      </c>
      <c r="G185" s="1">
        <f t="shared" si="10"/>
        <v>2.4031813694911099E-3</v>
      </c>
      <c r="H185">
        <f t="shared" si="7"/>
        <v>1.0429739999999999E-3</v>
      </c>
      <c r="I185">
        <f>IF(E185&lt;($A$17),F185,H185)</f>
        <v>1.0429739999999999E-3</v>
      </c>
    </row>
    <row r="186" spans="2:9" x14ac:dyDescent="0.25">
      <c r="B186">
        <v>1.09419</v>
      </c>
      <c r="C186" s="1">
        <v>9.2353930000000002E-4</v>
      </c>
      <c r="D186" s="1"/>
      <c r="E186">
        <f t="shared" si="8"/>
        <v>1.9096057359081563E-2</v>
      </c>
      <c r="F186" s="1">
        <f t="shared" si="9"/>
        <v>4.4089898615415086E-3</v>
      </c>
      <c r="G186" s="1">
        <f t="shared" si="10"/>
        <v>2.1371857973857735E-3</v>
      </c>
      <c r="H186">
        <f t="shared" si="7"/>
        <v>9.2353930000000002E-4</v>
      </c>
      <c r="I186">
        <f>IF(E186&lt;($A$17),F186,H186)</f>
        <v>9.2353930000000002E-4</v>
      </c>
    </row>
    <row r="187" spans="2:9" x14ac:dyDescent="0.25">
      <c r="B187">
        <v>1.1002000000000001</v>
      </c>
      <c r="C187" s="1">
        <v>9.5271229999999998E-4</v>
      </c>
      <c r="D187" s="1"/>
      <c r="E187">
        <f t="shared" si="8"/>
        <v>1.9200932414790643E-2</v>
      </c>
      <c r="F187" s="1">
        <f t="shared" si="9"/>
        <v>4.5732411207599364E-3</v>
      </c>
      <c r="G187" s="1">
        <f t="shared" si="10"/>
        <v>2.2141877758887758E-3</v>
      </c>
      <c r="H187">
        <f t="shared" si="7"/>
        <v>9.5271229999999998E-4</v>
      </c>
      <c r="I187">
        <f>IF(E187&lt;($A$17),F187,H187)</f>
        <v>9.5271229999999998E-4</v>
      </c>
    </row>
    <row r="188" spans="2:9" x14ac:dyDescent="0.25">
      <c r="B188">
        <v>1.1062099999999999</v>
      </c>
      <c r="C188" s="1">
        <v>9.3366629999999998E-4</v>
      </c>
      <c r="D188" s="1"/>
      <c r="E188">
        <f t="shared" si="8"/>
        <v>1.9305807259235475E-2</v>
      </c>
      <c r="F188" s="1">
        <f t="shared" si="9"/>
        <v>4.5062954080608807E-3</v>
      </c>
      <c r="G188" s="1">
        <f t="shared" si="10"/>
        <v>2.1792254050631349E-3</v>
      </c>
      <c r="H188">
        <f t="shared" si="7"/>
        <v>9.3366629999999998E-4</v>
      </c>
      <c r="I188">
        <f>IF(E188&lt;($A$17),F188,H188)</f>
        <v>9.3366629999999998E-4</v>
      </c>
    </row>
    <row r="189" spans="2:9" x14ac:dyDescent="0.25">
      <c r="B189">
        <v>1.11222</v>
      </c>
      <c r="C189" s="1">
        <v>8.5741479999999998E-4</v>
      </c>
      <c r="D189" s="1"/>
      <c r="E189">
        <f t="shared" si="8"/>
        <v>1.941068189126215E-2</v>
      </c>
      <c r="F189" s="1">
        <f t="shared" si="9"/>
        <v>4.1607514829150394E-3</v>
      </c>
      <c r="G189" s="1">
        <f t="shared" si="10"/>
        <v>2.0097929635077148E-3</v>
      </c>
      <c r="H189">
        <f t="shared" si="7"/>
        <v>8.5741479999999998E-4</v>
      </c>
      <c r="I189">
        <f>IF(E189&lt;($A$17),F189,H189)</f>
        <v>8.5741479999999998E-4</v>
      </c>
    </row>
    <row r="190" spans="2:9" x14ac:dyDescent="0.25">
      <c r="B190">
        <v>1.1182399999999999</v>
      </c>
      <c r="C190" s="1">
        <v>9.3557609999999995E-4</v>
      </c>
      <c r="D190" s="1"/>
      <c r="E190">
        <f t="shared" si="8"/>
        <v>1.951573080940245E-2</v>
      </c>
      <c r="F190" s="1">
        <f t="shared" si="9"/>
        <v>4.5646128298276467E-3</v>
      </c>
      <c r="G190" s="1">
        <f t="shared" si="10"/>
        <v>2.2023409253345057E-3</v>
      </c>
      <c r="H190">
        <f t="shared" si="7"/>
        <v>9.3557609999999995E-4</v>
      </c>
      <c r="I190">
        <f>IF(E190&lt;($A$17),F190,H190)</f>
        <v>9.3557609999999995E-4</v>
      </c>
    </row>
    <row r="191" spans="2:9" x14ac:dyDescent="0.25">
      <c r="B191">
        <v>1.12425</v>
      </c>
      <c r="C191" s="1">
        <v>7.9181710000000003E-4</v>
      </c>
      <c r="D191" s="1"/>
      <c r="E191">
        <f t="shared" si="8"/>
        <v>1.9620605012772817E-2</v>
      </c>
      <c r="F191" s="1">
        <f t="shared" si="9"/>
        <v>3.8839826403648083E-3</v>
      </c>
      <c r="G191" s="1">
        <f t="shared" si="10"/>
        <v>1.8718219533386275E-3</v>
      </c>
      <c r="H191">
        <f t="shared" si="7"/>
        <v>7.9181710000000003E-4</v>
      </c>
      <c r="I191">
        <f>IF(E191&lt;($A$17),F191,H191)</f>
        <v>7.9181710000000003E-4</v>
      </c>
    </row>
    <row r="192" spans="2:9" x14ac:dyDescent="0.25">
      <c r="B192">
        <v>1.13026</v>
      </c>
      <c r="C192" s="1">
        <v>9.0047550000000004E-4</v>
      </c>
      <c r="D192" s="1"/>
      <c r="E192">
        <f t="shared" si="8"/>
        <v>1.9725479000261361E-2</v>
      </c>
      <c r="F192" s="1">
        <f t="shared" si="9"/>
        <v>4.4405776413749621E-3</v>
      </c>
      <c r="G192" s="1">
        <f t="shared" si="10"/>
        <v>2.1376572537224856E-3</v>
      </c>
      <c r="H192">
        <f t="shared" si="7"/>
        <v>9.0047550000000004E-4</v>
      </c>
      <c r="I192">
        <f>IF(E192&lt;($A$17),F192,H192)</f>
        <v>9.0047550000000004E-4</v>
      </c>
    </row>
    <row r="193" spans="2:9" x14ac:dyDescent="0.25">
      <c r="B193">
        <v>1.1362699999999999</v>
      </c>
      <c r="C193" s="1">
        <v>7.7296690000000002E-4</v>
      </c>
      <c r="D193" s="1"/>
      <c r="E193">
        <f t="shared" si="8"/>
        <v>1.9830352770714172E-2</v>
      </c>
      <c r="F193" s="1">
        <f t="shared" si="9"/>
        <v>3.8320515767713359E-3</v>
      </c>
      <c r="G193" s="1">
        <f t="shared" si="10"/>
        <v>1.8426630491731079E-3</v>
      </c>
      <c r="H193">
        <f t="shared" si="7"/>
        <v>7.7296690000000002E-4</v>
      </c>
      <c r="I193">
        <f>IF(E193&lt;($A$17),F193,H193)</f>
        <v>7.7296690000000002E-4</v>
      </c>
    </row>
    <row r="194" spans="2:9" x14ac:dyDescent="0.25">
      <c r="B194">
        <v>1.14228</v>
      </c>
      <c r="C194" s="1">
        <v>8.2570240000000002E-4</v>
      </c>
      <c r="D194" s="1"/>
      <c r="E194">
        <f t="shared" si="8"/>
        <v>1.9935226322977357E-2</v>
      </c>
      <c r="F194" s="1">
        <f t="shared" si="9"/>
        <v>4.1151410548563947E-3</v>
      </c>
      <c r="G194" s="1">
        <f t="shared" si="10"/>
        <v>1.9766048008454302E-3</v>
      </c>
      <c r="H194">
        <f t="shared" si="7"/>
        <v>8.2570240000000002E-4</v>
      </c>
      <c r="I194">
        <f>IF(E194&lt;($A$17),F194,H194)</f>
        <v>8.2570240000000002E-4</v>
      </c>
    </row>
    <row r="195" spans="2:9" x14ac:dyDescent="0.25">
      <c r="B195">
        <v>1.1483000000000001</v>
      </c>
      <c r="C195" s="1">
        <v>7.8781789999999999E-4</v>
      </c>
      <c r="D195" s="1"/>
      <c r="E195">
        <f t="shared" si="8"/>
        <v>2.0040274153771669E-2</v>
      </c>
      <c r="F195" s="1">
        <f t="shared" si="9"/>
        <v>3.9470216748121682E-3</v>
      </c>
      <c r="G195" s="1">
        <f t="shared" si="10"/>
        <v>1.893777186428624E-3</v>
      </c>
      <c r="H195">
        <f t="shared" si="7"/>
        <v>7.8781789999999999E-4</v>
      </c>
      <c r="I195">
        <f>IF(E195&lt;($A$17),F195,H195)</f>
        <v>7.8781789999999999E-4</v>
      </c>
    </row>
    <row r="196" spans="2:9" x14ac:dyDescent="0.25">
      <c r="B196">
        <v>1.1543099999999999</v>
      </c>
      <c r="C196" s="1">
        <v>7.3729850000000001E-4</v>
      </c>
      <c r="D196" s="1"/>
      <c r="E196">
        <f t="shared" si="8"/>
        <v>2.0145147265826016E-2</v>
      </c>
      <c r="F196" s="1">
        <f t="shared" si="9"/>
        <v>3.7132467153431557E-3</v>
      </c>
      <c r="G196" s="1">
        <f t="shared" si="10"/>
        <v>1.7796830018303991E-3</v>
      </c>
      <c r="H196">
        <f t="shared" si="7"/>
        <v>7.3729850000000001E-4</v>
      </c>
      <c r="I196">
        <f>IF(E196&lt;($A$17),F196,H196)</f>
        <v>7.3729850000000001E-4</v>
      </c>
    </row>
    <row r="197" spans="2:9" x14ac:dyDescent="0.25">
      <c r="B197">
        <v>1.16032</v>
      </c>
      <c r="C197" s="1">
        <v>8.0129919999999996E-4</v>
      </c>
      <c r="D197" s="1"/>
      <c r="E197">
        <f t="shared" si="8"/>
        <v>2.0250020156227105E-2</v>
      </c>
      <c r="F197" s="1">
        <f t="shared" si="9"/>
        <v>4.0565812377921628E-3</v>
      </c>
      <c r="G197" s="1">
        <f t="shared" si="10"/>
        <v>1.9421504703610222E-3</v>
      </c>
      <c r="H197">
        <f t="shared" ref="H197:H260" si="11">IF(E197&gt;($A$19),C197,G197)</f>
        <v>8.0129919999999996E-4</v>
      </c>
      <c r="I197">
        <f>IF(E197&lt;($A$17),F197,H197)</f>
        <v>8.0129919999999996E-4</v>
      </c>
    </row>
    <row r="198" spans="2:9" x14ac:dyDescent="0.25">
      <c r="B198">
        <v>1.1663300000000001</v>
      </c>
      <c r="C198" s="1">
        <v>6.7254510000000001E-4</v>
      </c>
      <c r="D198" s="1"/>
      <c r="E198">
        <f t="shared" ref="E198:E261" si="12">SIN(B198/180*PI())</f>
        <v>2.0354892823821035E-2</v>
      </c>
      <c r="F198" s="1">
        <f t="shared" ref="F198:F261" si="13">C198*$A$5/$A$7*SIN(B198/180*PI())</f>
        <v>3.4223958574215001E-3</v>
      </c>
      <c r="G198" s="1">
        <f t="shared" ref="G198:G261" si="14">C198*(1/2+($A$5/(2*$A$7)-$A$9/$A$7)*SIN(B198/180*PI()))</f>
        <v>1.6367829758201701E-3</v>
      </c>
      <c r="H198">
        <f t="shared" si="11"/>
        <v>6.7254510000000001E-4</v>
      </c>
      <c r="I198">
        <f>IF(E198&lt;($A$17),F198,H198)</f>
        <v>6.7254510000000001E-4</v>
      </c>
    </row>
    <row r="199" spans="2:9" x14ac:dyDescent="0.25">
      <c r="B199">
        <v>1.1723399999999999</v>
      </c>
      <c r="C199" s="1">
        <v>7.8027589999999996E-4</v>
      </c>
      <c r="D199" s="1"/>
      <c r="E199">
        <f t="shared" si="12"/>
        <v>2.0459765267453911E-2</v>
      </c>
      <c r="F199" s="1">
        <f t="shared" si="13"/>
        <v>3.9910654394628344E-3</v>
      </c>
      <c r="G199" s="1">
        <f t="shared" si="14"/>
        <v>1.9067428169958775E-3</v>
      </c>
      <c r="H199">
        <f t="shared" si="11"/>
        <v>7.8027589999999996E-4</v>
      </c>
      <c r="I199">
        <f>IF(E199&lt;($A$17),F199,H199)</f>
        <v>7.8027589999999996E-4</v>
      </c>
    </row>
    <row r="200" spans="2:9" x14ac:dyDescent="0.25">
      <c r="B200">
        <v>1.1783600000000001</v>
      </c>
      <c r="C200" s="1">
        <v>6.5373579999999996E-4</v>
      </c>
      <c r="D200" s="1"/>
      <c r="E200">
        <f t="shared" si="12"/>
        <v>2.0564811981987469E-2</v>
      </c>
      <c r="F200" s="1">
        <f t="shared" si="13"/>
        <v>3.3609884532235408E-3</v>
      </c>
      <c r="G200" s="1">
        <f t="shared" si="14"/>
        <v>1.6040435122249455E-3</v>
      </c>
      <c r="H200">
        <f t="shared" si="11"/>
        <v>6.5373579999999996E-4</v>
      </c>
      <c r="I200">
        <f>IF(E200&lt;($A$17),F200,H200)</f>
        <v>6.5373579999999996E-4</v>
      </c>
    </row>
    <row r="201" spans="2:9" x14ac:dyDescent="0.25">
      <c r="B201">
        <v>1.1843699999999999</v>
      </c>
      <c r="C201" s="1">
        <v>7.1713300000000001E-4</v>
      </c>
      <c r="D201" s="1"/>
      <c r="E201">
        <f t="shared" si="12"/>
        <v>2.0669683973859116E-2</v>
      </c>
      <c r="F201" s="1">
        <f t="shared" si="13"/>
        <v>3.7057281193063774E-3</v>
      </c>
      <c r="G201" s="1">
        <f t="shared" si="14"/>
        <v>1.7667431853364234E-3</v>
      </c>
      <c r="H201">
        <f t="shared" si="11"/>
        <v>7.1713300000000001E-4</v>
      </c>
      <c r="I201">
        <f>IF(E201&lt;($A$17),F201,H201)</f>
        <v>7.1713300000000001E-4</v>
      </c>
    </row>
    <row r="202" spans="2:9" x14ac:dyDescent="0.25">
      <c r="B202">
        <v>1.19038</v>
      </c>
      <c r="C202" s="1">
        <v>6.7176759999999997E-4</v>
      </c>
      <c r="D202" s="1"/>
      <c r="E202">
        <f t="shared" si="12"/>
        <v>2.0774555738306135E-2</v>
      </c>
      <c r="F202" s="1">
        <f t="shared" si="13"/>
        <v>3.4889183623470353E-3</v>
      </c>
      <c r="G202" s="1">
        <f t="shared" si="14"/>
        <v>1.6616727776918735E-3</v>
      </c>
      <c r="H202">
        <f t="shared" si="11"/>
        <v>6.7176759999999997E-4</v>
      </c>
      <c r="I202">
        <f>IF(E202&lt;($A$17),F202,H202)</f>
        <v>6.7176759999999997E-4</v>
      </c>
    </row>
    <row r="203" spans="2:9" x14ac:dyDescent="0.25">
      <c r="B203">
        <v>1.1963900000000001</v>
      </c>
      <c r="C203" s="1">
        <v>6.3571660000000002E-4</v>
      </c>
      <c r="D203" s="1"/>
      <c r="E203">
        <f t="shared" si="12"/>
        <v>2.0879427274174623E-2</v>
      </c>
      <c r="F203" s="1">
        <f t="shared" si="13"/>
        <v>3.3183496291713894E-3</v>
      </c>
      <c r="G203" s="1">
        <f t="shared" si="14"/>
        <v>1.578831159085128E-3</v>
      </c>
      <c r="H203">
        <f t="shared" si="11"/>
        <v>6.3571660000000002E-4</v>
      </c>
      <c r="I203">
        <f>IF(E203&lt;($A$17),F203,H203)</f>
        <v>6.3571660000000002E-4</v>
      </c>
    </row>
    <row r="204" spans="2:9" x14ac:dyDescent="0.25">
      <c r="B204">
        <v>1.2023999999999999</v>
      </c>
      <c r="C204" s="1">
        <v>6.92006E-4</v>
      </c>
      <c r="D204" s="1"/>
      <c r="E204">
        <f t="shared" si="12"/>
        <v>2.0984298580310704E-2</v>
      </c>
      <c r="F204" s="1">
        <f t="shared" si="13"/>
        <v>3.6303151308416225E-3</v>
      </c>
      <c r="G204" s="1">
        <f t="shared" si="14"/>
        <v>1.7255227497198166E-3</v>
      </c>
      <c r="H204">
        <f t="shared" si="11"/>
        <v>6.92006E-4</v>
      </c>
      <c r="I204">
        <f>IF(E204&lt;($A$17),F204,H204)</f>
        <v>6.92006E-4</v>
      </c>
    </row>
    <row r="205" spans="2:9" x14ac:dyDescent="0.25">
      <c r="B205">
        <v>1.20842</v>
      </c>
      <c r="C205" s="1">
        <v>5.7447840000000004E-4</v>
      </c>
      <c r="D205" s="1"/>
      <c r="E205">
        <f t="shared" si="12"/>
        <v>2.1089344149669037E-2</v>
      </c>
      <c r="F205" s="1">
        <f t="shared" si="13"/>
        <v>3.0288431710378074E-3</v>
      </c>
      <c r="G205" s="1">
        <f t="shared" si="14"/>
        <v>1.4381996049943667E-3</v>
      </c>
      <c r="H205">
        <f t="shared" si="11"/>
        <v>5.7447840000000004E-4</v>
      </c>
      <c r="I205">
        <f>IF(E205&lt;($A$17),F205,H205)</f>
        <v>5.7447840000000004E-4</v>
      </c>
    </row>
    <row r="206" spans="2:9" x14ac:dyDescent="0.25">
      <c r="B206">
        <v>1.2144299999999999</v>
      </c>
      <c r="C206" s="1">
        <v>6.7919659999999995E-4</v>
      </c>
      <c r="D206" s="1"/>
      <c r="E206">
        <f t="shared" si="12"/>
        <v>2.1194214992491623E-2</v>
      </c>
      <c r="F206" s="1">
        <f t="shared" si="13"/>
        <v>3.5987596906423337E-3</v>
      </c>
      <c r="G206" s="1">
        <f t="shared" si="14"/>
        <v>1.7071269824440868E-3</v>
      </c>
      <c r="H206">
        <f t="shared" si="11"/>
        <v>6.7919659999999995E-4</v>
      </c>
      <c r="I206">
        <f>IF(E206&lt;($A$17),F206,H206)</f>
        <v>6.7919659999999995E-4</v>
      </c>
    </row>
    <row r="207" spans="2:9" x14ac:dyDescent="0.25">
      <c r="B207">
        <v>1.22044</v>
      </c>
      <c r="C207" s="1">
        <v>5.5825359999999997E-4</v>
      </c>
      <c r="D207" s="1"/>
      <c r="E207">
        <f t="shared" si="12"/>
        <v>2.1299085602118253E-2</v>
      </c>
      <c r="F207" s="1">
        <f t="shared" si="13"/>
        <v>2.97257280352267E-3</v>
      </c>
      <c r="G207" s="1">
        <f t="shared" si="14"/>
        <v>1.4087044653386149E-3</v>
      </c>
      <c r="H207">
        <f t="shared" si="11"/>
        <v>5.5825359999999997E-4</v>
      </c>
      <c r="I207">
        <f>IF(E207&lt;($A$17),F207,H207)</f>
        <v>5.5825359999999997E-4</v>
      </c>
    </row>
    <row r="208" spans="2:9" x14ac:dyDescent="0.25">
      <c r="B208">
        <v>1.22645</v>
      </c>
      <c r="C208" s="1">
        <v>6.2352670000000003E-4</v>
      </c>
      <c r="D208" s="1"/>
      <c r="E208">
        <f t="shared" si="12"/>
        <v>2.1403955977395056E-2</v>
      </c>
      <c r="F208" s="1">
        <f t="shared" si="13"/>
        <v>3.3364845093826036E-3</v>
      </c>
      <c r="G208" s="1">
        <f t="shared" si="14"/>
        <v>1.5796274635653895E-3</v>
      </c>
      <c r="H208">
        <f t="shared" si="11"/>
        <v>6.2352670000000003E-4</v>
      </c>
      <c r="I208">
        <f>IF(E208&lt;($A$17),F208,H208)</f>
        <v>6.2352670000000003E-4</v>
      </c>
    </row>
    <row r="209" spans="2:9" x14ac:dyDescent="0.25">
      <c r="B209">
        <v>1.2324600000000001</v>
      </c>
      <c r="C209" s="1">
        <v>5.7945040000000005E-4</v>
      </c>
      <c r="D209" s="1"/>
      <c r="E209">
        <f t="shared" si="12"/>
        <v>2.1508826117168162E-2</v>
      </c>
      <c r="F209" s="1">
        <f t="shared" si="13"/>
        <v>3.1158244742808846E-3</v>
      </c>
      <c r="G209" s="1">
        <f t="shared" si="14"/>
        <v>1.4737385002267362E-3</v>
      </c>
      <c r="H209">
        <f t="shared" si="11"/>
        <v>5.7945040000000005E-4</v>
      </c>
      <c r="I209">
        <f>IF(E209&lt;($A$17),F209,H209)</f>
        <v>5.7945040000000005E-4</v>
      </c>
    </row>
    <row r="210" spans="2:9" x14ac:dyDescent="0.25">
      <c r="B210">
        <v>1.23848</v>
      </c>
      <c r="C210" s="1">
        <v>5.482811E-4</v>
      </c>
      <c r="D210" s="1"/>
      <c r="E210">
        <f t="shared" si="12"/>
        <v>2.1613870512437121E-2</v>
      </c>
      <c r="F210" s="1">
        <f t="shared" si="13"/>
        <v>2.9626191749541468E-3</v>
      </c>
      <c r="G210" s="1">
        <f t="shared" si="14"/>
        <v>1.3999358364825761E-3</v>
      </c>
      <c r="H210">
        <f t="shared" si="11"/>
        <v>5.482811E-4</v>
      </c>
      <c r="I210">
        <f>IF(E210&lt;($A$17),F210,H210)</f>
        <v>5.482811E-4</v>
      </c>
    </row>
    <row r="211" spans="2:9" x14ac:dyDescent="0.25">
      <c r="B211">
        <v>1.2444900000000001</v>
      </c>
      <c r="C211" s="1">
        <v>6.0328539999999998E-4</v>
      </c>
      <c r="D211" s="1"/>
      <c r="E211">
        <f t="shared" si="12"/>
        <v>2.1718740177344584E-2</v>
      </c>
      <c r="F211" s="1">
        <f t="shared" si="13"/>
        <v>3.2756497138463495E-3</v>
      </c>
      <c r="G211" s="1">
        <f t="shared" si="14"/>
        <v>1.5463895912616128E-3</v>
      </c>
      <c r="H211">
        <f t="shared" si="11"/>
        <v>6.0328539999999998E-4</v>
      </c>
      <c r="I211">
        <f>IF(E211&lt;($A$17),F211,H211)</f>
        <v>6.0328539999999998E-4</v>
      </c>
    </row>
    <row r="212" spans="2:9" x14ac:dyDescent="0.25">
      <c r="B212">
        <v>1.2504999999999999</v>
      </c>
      <c r="C212" s="1">
        <v>4.925299E-4</v>
      </c>
      <c r="D212" s="1"/>
      <c r="E212">
        <f t="shared" si="12"/>
        <v>2.1823609603284836E-2</v>
      </c>
      <c r="F212" s="1">
        <f t="shared" si="13"/>
        <v>2.6871950638862299E-3</v>
      </c>
      <c r="G212" s="1">
        <f t="shared" si="14"/>
        <v>1.2673990742767672E-3</v>
      </c>
      <c r="H212">
        <f t="shared" si="11"/>
        <v>4.925299E-4</v>
      </c>
      <c r="I212">
        <f>IF(E212&lt;($A$17),F212,H212)</f>
        <v>4.925299E-4</v>
      </c>
    </row>
    <row r="213" spans="2:9" x14ac:dyDescent="0.25">
      <c r="B213">
        <v>1.25651</v>
      </c>
      <c r="C213" s="1">
        <v>5.939497E-4</v>
      </c>
      <c r="D213" s="1"/>
      <c r="E213">
        <f t="shared" si="12"/>
        <v>2.1928478789104026E-2</v>
      </c>
      <c r="F213" s="1">
        <f t="shared" si="13"/>
        <v>3.2561033495611745E-3</v>
      </c>
      <c r="G213" s="1">
        <f t="shared" si="14"/>
        <v>1.5342941228332465E-3</v>
      </c>
      <c r="H213">
        <f t="shared" si="11"/>
        <v>5.939497E-4</v>
      </c>
      <c r="I213">
        <f>IF(E213&lt;($A$17),F213,H213)</f>
        <v>5.939497E-4</v>
      </c>
    </row>
    <row r="214" spans="2:9" x14ac:dyDescent="0.25">
      <c r="B214">
        <v>1.2625200000000001</v>
      </c>
      <c r="C214" s="1">
        <v>4.8129299999999999E-4</v>
      </c>
      <c r="D214" s="1"/>
      <c r="E214">
        <f t="shared" si="12"/>
        <v>2.2033347733648293E-2</v>
      </c>
      <c r="F214" s="1">
        <f t="shared" si="13"/>
        <v>2.6511240076926967E-3</v>
      </c>
      <c r="G214" s="1">
        <f t="shared" si="14"/>
        <v>1.2480736229232249E-3</v>
      </c>
      <c r="H214">
        <f t="shared" si="11"/>
        <v>4.8129299999999999E-4</v>
      </c>
      <c r="I214">
        <f>IF(E214&lt;($A$17),F214,H214)</f>
        <v>4.8129299999999999E-4</v>
      </c>
    </row>
    <row r="215" spans="2:9" x14ac:dyDescent="0.25">
      <c r="B215">
        <v>1.26854</v>
      </c>
      <c r="C215" s="1">
        <v>5.4208860000000002E-4</v>
      </c>
      <c r="D215" s="1"/>
      <c r="E215">
        <f t="shared" si="12"/>
        <v>2.2138390925914058E-2</v>
      </c>
      <c r="F215" s="1">
        <f t="shared" si="13"/>
        <v>3.0002423358203639E-3</v>
      </c>
      <c r="G215" s="1">
        <f t="shared" si="14"/>
        <v>1.4111363876117384E-3</v>
      </c>
      <c r="H215">
        <f t="shared" si="11"/>
        <v>5.4208860000000002E-4</v>
      </c>
      <c r="I215">
        <f>IF(E215&lt;($A$17),F215,H215)</f>
        <v>5.4208860000000002E-4</v>
      </c>
    </row>
    <row r="216" spans="2:9" x14ac:dyDescent="0.25">
      <c r="B216">
        <v>1.2745500000000001</v>
      </c>
      <c r="C216" s="1">
        <v>5.0602609999999995E-4</v>
      </c>
      <c r="D216" s="1"/>
      <c r="E216">
        <f t="shared" si="12"/>
        <v>2.2243259384040669E-2</v>
      </c>
      <c r="F216" s="1">
        <f t="shared" si="13"/>
        <v>2.8139174493486251E-3</v>
      </c>
      <c r="G216" s="1">
        <f t="shared" si="14"/>
        <v>1.3223016807524775E-3</v>
      </c>
      <c r="H216">
        <f t="shared" si="11"/>
        <v>5.0602609999999995E-4</v>
      </c>
      <c r="I216">
        <f>IF(E216&lt;($A$17),F216,H216)</f>
        <v>5.0602609999999995E-4</v>
      </c>
    </row>
    <row r="217" spans="2:9" x14ac:dyDescent="0.25">
      <c r="B217">
        <v>1.2805599999999999</v>
      </c>
      <c r="C217" s="1">
        <v>4.7220340000000001E-4</v>
      </c>
      <c r="D217" s="1"/>
      <c r="E217">
        <f t="shared" si="12"/>
        <v>2.234812759742888E-2</v>
      </c>
      <c r="F217" s="1">
        <f t="shared" si="13"/>
        <v>2.6382154587849369E-3</v>
      </c>
      <c r="G217" s="1">
        <f t="shared" si="14"/>
        <v>1.2386235743382763E-3</v>
      </c>
      <c r="H217">
        <f t="shared" si="11"/>
        <v>4.7220340000000001E-4</v>
      </c>
      <c r="I217">
        <f>IF(E217&lt;($A$17),F217,H217)</f>
        <v>4.7220340000000001E-4</v>
      </c>
    </row>
    <row r="218" spans="2:9" x14ac:dyDescent="0.25">
      <c r="B218">
        <v>1.28657</v>
      </c>
      <c r="C218" s="1">
        <v>5.3100309999999998E-4</v>
      </c>
      <c r="D218" s="1"/>
      <c r="E218">
        <f t="shared" si="12"/>
        <v>2.2452995564924857E-2</v>
      </c>
      <c r="F218" s="1">
        <f t="shared" si="13"/>
        <v>2.9806525623153374E-3</v>
      </c>
      <c r="G218" s="1">
        <f t="shared" si="14"/>
        <v>1.3981495236798282E-3</v>
      </c>
      <c r="H218">
        <f t="shared" si="11"/>
        <v>5.3100309999999998E-4</v>
      </c>
      <c r="I218">
        <f>IF(E218&lt;($A$17),F218,H218)</f>
        <v>5.3100309999999998E-4</v>
      </c>
    </row>
    <row r="219" spans="2:9" x14ac:dyDescent="0.25">
      <c r="B219">
        <v>1.2925899999999999</v>
      </c>
      <c r="C219" s="1">
        <v>4.2360439999999998E-4</v>
      </c>
      <c r="D219" s="1"/>
      <c r="E219">
        <f t="shared" si="12"/>
        <v>2.255803777388779E-2</v>
      </c>
      <c r="F219" s="1">
        <f t="shared" si="13"/>
        <v>2.388921014096268E-3</v>
      </c>
      <c r="G219" s="1">
        <f t="shared" si="14"/>
        <v>1.1195921853565818E-3</v>
      </c>
      <c r="H219">
        <f t="shared" si="11"/>
        <v>4.2360439999999998E-4</v>
      </c>
      <c r="I219">
        <f>IF(E219&lt;($A$17),F219,H219)</f>
        <v>4.2360439999999998E-4</v>
      </c>
    </row>
    <row r="220" spans="2:9" x14ac:dyDescent="0.25">
      <c r="B220">
        <v>1.2986</v>
      </c>
      <c r="C220" s="1">
        <v>5.212986E-4</v>
      </c>
      <c r="D220" s="1"/>
      <c r="E220">
        <f t="shared" si="12"/>
        <v>2.2662905245723827E-2</v>
      </c>
      <c r="F220" s="1">
        <f t="shared" si="13"/>
        <v>2.9535351941321216E-3</v>
      </c>
      <c r="G220" s="1">
        <f t="shared" si="14"/>
        <v>1.3829926737702063E-3</v>
      </c>
      <c r="H220">
        <f t="shared" si="11"/>
        <v>5.212986E-4</v>
      </c>
      <c r="I220">
        <f>IF(E220&lt;($A$17),F220,H220)</f>
        <v>5.212986E-4</v>
      </c>
    </row>
    <row r="221" spans="2:9" x14ac:dyDescent="0.25">
      <c r="B221">
        <v>1.30461</v>
      </c>
      <c r="C221" s="1">
        <v>4.1932999999999998E-4</v>
      </c>
      <c r="D221" s="1"/>
      <c r="E221">
        <f t="shared" si="12"/>
        <v>2.2767772468204182E-2</v>
      </c>
      <c r="F221" s="1">
        <f t="shared" si="13"/>
        <v>2.3868025072730148E-3</v>
      </c>
      <c r="G221" s="1">
        <f t="shared" si="14"/>
        <v>1.1166499527637457E-3</v>
      </c>
      <c r="H221">
        <f t="shared" si="11"/>
        <v>4.1932999999999998E-4</v>
      </c>
      <c r="I221">
        <f>IF(E221&lt;($A$17),F221,H221)</f>
        <v>4.1932999999999998E-4</v>
      </c>
    </row>
    <row r="222" spans="2:9" x14ac:dyDescent="0.25">
      <c r="B222">
        <v>1.3106199999999999</v>
      </c>
      <c r="C222" s="1">
        <v>4.7044449999999999E-4</v>
      </c>
      <c r="D222" s="1"/>
      <c r="E222">
        <f t="shared" si="12"/>
        <v>2.2872639440175025E-2</v>
      </c>
      <c r="F222" s="1">
        <f t="shared" si="13"/>
        <v>2.6900768562783547E-3</v>
      </c>
      <c r="G222" s="1">
        <f t="shared" si="14"/>
        <v>1.2574514553857748E-3</v>
      </c>
      <c r="H222">
        <f t="shared" si="11"/>
        <v>4.7044449999999999E-4</v>
      </c>
      <c r="I222">
        <f>IF(E222&lt;($A$17),F222,H222)</f>
        <v>4.7044449999999999E-4</v>
      </c>
    </row>
    <row r="223" spans="2:9" x14ac:dyDescent="0.25">
      <c r="B223">
        <v>1.31663</v>
      </c>
      <c r="C223" s="1">
        <v>4.4765650000000001E-4</v>
      </c>
      <c r="D223" s="1"/>
      <c r="E223">
        <f t="shared" si="12"/>
        <v>2.2977506160482525E-2</v>
      </c>
      <c r="F223" s="1">
        <f t="shared" si="13"/>
        <v>2.5715074966325114E-3</v>
      </c>
      <c r="G223" s="1">
        <f t="shared" si="14"/>
        <v>1.2010010987203543E-3</v>
      </c>
      <c r="H223">
        <f t="shared" si="11"/>
        <v>4.4765650000000001E-4</v>
      </c>
      <c r="I223">
        <f>IF(E223&lt;($A$17),F223,H223)</f>
        <v>4.4765650000000001E-4</v>
      </c>
    </row>
    <row r="224" spans="2:9" x14ac:dyDescent="0.25">
      <c r="B224">
        <v>1.3226500000000001</v>
      </c>
      <c r="C224" s="1">
        <v>4.05666E-4</v>
      </c>
      <c r="D224" s="1"/>
      <c r="E224">
        <f t="shared" si="12"/>
        <v>2.3082547114396293E-2</v>
      </c>
      <c r="F224" s="1">
        <f t="shared" si="13"/>
        <v>2.3409511394271716E-3</v>
      </c>
      <c r="G224" s="1">
        <f t="shared" si="14"/>
        <v>1.0923944329823251E-3</v>
      </c>
      <c r="H224">
        <f t="shared" si="11"/>
        <v>4.05666E-4</v>
      </c>
      <c r="I224">
        <f>IF(E224&lt;($A$17),F224,H224)</f>
        <v>4.05666E-4</v>
      </c>
    </row>
    <row r="225" spans="2:9" x14ac:dyDescent="0.25">
      <c r="B225">
        <v>1.32866</v>
      </c>
      <c r="C225" s="1">
        <v>4.714513E-4</v>
      </c>
      <c r="D225" s="1"/>
      <c r="E225">
        <f t="shared" si="12"/>
        <v>2.3187413327492076E-2</v>
      </c>
      <c r="F225" s="1">
        <f t="shared" si="13"/>
        <v>2.7329340392208659E-3</v>
      </c>
      <c r="G225" s="1">
        <f t="shared" si="14"/>
        <v>1.2742405849039292E-3</v>
      </c>
      <c r="H225">
        <f t="shared" si="11"/>
        <v>4.714513E-4</v>
      </c>
      <c r="I225">
        <f>IF(E225&lt;($A$17),F225,H225)</f>
        <v>4.714513E-4</v>
      </c>
    </row>
    <row r="226" spans="2:9" x14ac:dyDescent="0.25">
      <c r="B226">
        <v>1.33467</v>
      </c>
      <c r="C226" s="1">
        <v>3.6586730000000002E-4</v>
      </c>
      <c r="D226" s="1"/>
      <c r="E226">
        <f t="shared" si="12"/>
        <v>2.3292279285461123E-2</v>
      </c>
      <c r="F226" s="1">
        <f t="shared" si="13"/>
        <v>2.1304708332543975E-3</v>
      </c>
      <c r="G226" s="1">
        <f t="shared" si="14"/>
        <v>9.9251256663667104E-4</v>
      </c>
      <c r="H226">
        <f t="shared" si="11"/>
        <v>3.6586730000000002E-4</v>
      </c>
      <c r="I226">
        <f>IF(E226&lt;($A$17),F226,H226)</f>
        <v>3.6586730000000002E-4</v>
      </c>
    </row>
    <row r="227" spans="2:9" x14ac:dyDescent="0.25">
      <c r="B227">
        <v>1.3406800000000001</v>
      </c>
      <c r="C227" s="1">
        <v>4.5823720000000002E-4</v>
      </c>
      <c r="D227" s="1"/>
      <c r="E227">
        <f t="shared" si="12"/>
        <v>2.3397144987149607E-2</v>
      </c>
      <c r="F227" s="1">
        <f t="shared" si="13"/>
        <v>2.6803605517263678E-3</v>
      </c>
      <c r="G227" s="1">
        <f t="shared" si="14"/>
        <v>1.24765560965602E-3</v>
      </c>
      <c r="H227">
        <f t="shared" si="11"/>
        <v>4.5823720000000002E-4</v>
      </c>
      <c r="I227">
        <f>IF(E227&lt;($A$17),F227,H227)</f>
        <v>4.5823720000000002E-4</v>
      </c>
    </row>
    <row r="228" spans="2:9" x14ac:dyDescent="0.25">
      <c r="B228">
        <v>1.3466899999999999</v>
      </c>
      <c r="C228" s="1">
        <v>3.6992060000000002E-4</v>
      </c>
      <c r="D228" s="1"/>
      <c r="E228">
        <f t="shared" si="12"/>
        <v>2.3502010431403708E-2</v>
      </c>
      <c r="F228" s="1">
        <f t="shared" si="13"/>
        <v>2.1734694499977794E-3</v>
      </c>
      <c r="G228" s="1">
        <f t="shared" si="14"/>
        <v>1.0108786909991563E-3</v>
      </c>
      <c r="H228">
        <f t="shared" si="11"/>
        <v>3.6992060000000002E-4</v>
      </c>
      <c r="I228">
        <f>IF(E228&lt;($A$17),F228,H228)</f>
        <v>3.6992060000000002E-4</v>
      </c>
    </row>
    <row r="229" spans="2:9" x14ac:dyDescent="0.25">
      <c r="B229">
        <v>1.3527100000000001</v>
      </c>
      <c r="C229" s="1">
        <v>4.0668619999999998E-4</v>
      </c>
      <c r="D229" s="1"/>
      <c r="E229">
        <f t="shared" si="12"/>
        <v>2.3607050101355432E-2</v>
      </c>
      <c r="F229" s="1">
        <f t="shared" si="13"/>
        <v>2.4001653747324635E-3</v>
      </c>
      <c r="G229" s="1">
        <f t="shared" si="14"/>
        <v>1.1154059423983361E-3</v>
      </c>
      <c r="H229">
        <f t="shared" si="11"/>
        <v>4.0668619999999998E-4</v>
      </c>
      <c r="I229">
        <f>IF(E229&lt;($A$17),F229,H229)</f>
        <v>4.0668619999999998E-4</v>
      </c>
    </row>
    <row r="230" spans="2:9" x14ac:dyDescent="0.25">
      <c r="B230">
        <v>1.3587199999999999</v>
      </c>
      <c r="C230" s="1">
        <v>4.0117730000000001E-4</v>
      </c>
      <c r="D230" s="1"/>
      <c r="E230">
        <f t="shared" si="12"/>
        <v>2.3711915026846185E-2</v>
      </c>
      <c r="F230" s="1">
        <f t="shared" si="13"/>
        <v>2.3781705120748948E-3</v>
      </c>
      <c r="G230" s="1">
        <f t="shared" si="14"/>
        <v>1.1042934445884601E-3</v>
      </c>
      <c r="H230">
        <f t="shared" si="11"/>
        <v>4.0117730000000001E-4</v>
      </c>
      <c r="I230">
        <f>IF(E230&lt;($A$17),F230,H230)</f>
        <v>4.0117730000000001E-4</v>
      </c>
    </row>
    <row r="231" spans="2:9" x14ac:dyDescent="0.25">
      <c r="B231">
        <v>1.36473</v>
      </c>
      <c r="C231" s="1">
        <v>3.4760789999999998E-4</v>
      </c>
      <c r="D231" s="1"/>
      <c r="E231">
        <f t="shared" si="12"/>
        <v>2.3816779691439211E-2</v>
      </c>
      <c r="F231" s="1">
        <f t="shared" si="13"/>
        <v>2.0697251933259578E-3</v>
      </c>
      <c r="G231" s="1">
        <f t="shared" si="14"/>
        <v>9.6029952346386391E-4</v>
      </c>
      <c r="H231">
        <f t="shared" si="11"/>
        <v>3.4760789999999998E-4</v>
      </c>
      <c r="I231">
        <f>IF(E231&lt;($A$17),F231,H231)</f>
        <v>3.4760789999999998E-4</v>
      </c>
    </row>
    <row r="232" spans="2:9" x14ac:dyDescent="0.25">
      <c r="B232">
        <v>1.3707400000000001</v>
      </c>
      <c r="C232" s="1">
        <v>4.2128169999999999E-4</v>
      </c>
      <c r="D232" s="1"/>
      <c r="E232">
        <f t="shared" si="12"/>
        <v>2.3921644093980694E-2</v>
      </c>
      <c r="F232" s="1">
        <f t="shared" si="13"/>
        <v>2.5194377226767863E-3</v>
      </c>
      <c r="G232" s="1">
        <f t="shared" si="14"/>
        <v>1.1680271846171788E-3</v>
      </c>
      <c r="H232">
        <f t="shared" si="11"/>
        <v>4.2128169999999999E-4</v>
      </c>
      <c r="I232">
        <f>IF(E232&lt;($A$17),F232,H232)</f>
        <v>4.2128169999999999E-4</v>
      </c>
    </row>
    <row r="233" spans="2:9" x14ac:dyDescent="0.25">
      <c r="B233">
        <v>1.3767499999999999</v>
      </c>
      <c r="C233" s="1">
        <v>3.182692E-4</v>
      </c>
      <c r="E233">
        <f t="shared" si="12"/>
        <v>2.4026508233316826E-2</v>
      </c>
      <c r="F233" s="1">
        <f t="shared" si="13"/>
        <v>1.9117243885527898E-3</v>
      </c>
      <c r="G233" s="1">
        <f t="shared" si="14"/>
        <v>8.8558986765006019E-4</v>
      </c>
      <c r="H233">
        <f t="shared" si="11"/>
        <v>3.182692E-4</v>
      </c>
      <c r="I233">
        <f>IF(E233&lt;($A$17),F233,H233)</f>
        <v>3.182692E-4</v>
      </c>
    </row>
    <row r="234" spans="2:9" x14ac:dyDescent="0.25">
      <c r="B234">
        <v>1.3827700000000001</v>
      </c>
      <c r="C234" s="1">
        <v>4.0216980000000002E-4</v>
      </c>
      <c r="E234">
        <f t="shared" si="12"/>
        <v>2.4131546590393977E-2</v>
      </c>
      <c r="F234" s="1">
        <f t="shared" si="13"/>
        <v>2.4262448164873566E-3</v>
      </c>
      <c r="G234" s="1">
        <f t="shared" si="14"/>
        <v>1.1230579302651958E-3</v>
      </c>
      <c r="H234">
        <f t="shared" si="11"/>
        <v>4.0216980000000002E-4</v>
      </c>
      <c r="I234">
        <f>IF(E234&lt;($A$17),F234,H234)</f>
        <v>4.0216980000000002E-4</v>
      </c>
    </row>
    <row r="235" spans="2:9" x14ac:dyDescent="0.25">
      <c r="B235">
        <v>1.3887799999999999</v>
      </c>
      <c r="C235" s="1">
        <v>3.312101E-4</v>
      </c>
      <c r="E235">
        <f t="shared" si="12"/>
        <v>2.4236410199415279E-2</v>
      </c>
      <c r="F235" s="1">
        <f t="shared" si="13"/>
        <v>2.0068359614473382E-3</v>
      </c>
      <c r="G235" s="1">
        <f t="shared" si="14"/>
        <v>9.282027153499887E-4</v>
      </c>
      <c r="H235">
        <f t="shared" si="11"/>
        <v>3.312101E-4</v>
      </c>
      <c r="I235">
        <f>IF(E235&lt;($A$17),F235,H235)</f>
        <v>3.312101E-4</v>
      </c>
    </row>
    <row r="236" spans="2:9" x14ac:dyDescent="0.25">
      <c r="B236">
        <v>1.39479</v>
      </c>
      <c r="C236" s="1">
        <v>3.494735E-4</v>
      </c>
      <c r="E236">
        <f t="shared" si="12"/>
        <v>2.4341273541767929E-2</v>
      </c>
      <c r="F236" s="1">
        <f t="shared" si="13"/>
        <v>2.1266575147747585E-3</v>
      </c>
      <c r="G236" s="1">
        <f t="shared" si="14"/>
        <v>9.8286660561440844E-4</v>
      </c>
      <c r="H236">
        <f t="shared" si="11"/>
        <v>3.494735E-4</v>
      </c>
      <c r="I236">
        <f>IF(E236&lt;($A$17),F236,H236)</f>
        <v>3.494735E-4</v>
      </c>
    </row>
    <row r="237" spans="2:9" x14ac:dyDescent="0.25">
      <c r="B237">
        <v>1.4008</v>
      </c>
      <c r="C237" s="1">
        <v>3.6378639999999998E-4</v>
      </c>
      <c r="E237">
        <f t="shared" si="12"/>
        <v>2.4446136616298131E-2</v>
      </c>
      <c r="F237" s="1">
        <f t="shared" si="13"/>
        <v>2.2232930083878194E-3</v>
      </c>
      <c r="G237" s="1">
        <f t="shared" si="14"/>
        <v>1.0267445431873714E-3</v>
      </c>
      <c r="H237">
        <f t="shared" si="11"/>
        <v>3.6378639999999998E-4</v>
      </c>
      <c r="I237">
        <f>IF(E237&lt;($A$17),F237,H237)</f>
        <v>3.6378639999999998E-4</v>
      </c>
    </row>
    <row r="238" spans="2:9" x14ac:dyDescent="0.25">
      <c r="B238">
        <v>1.4068099999999999</v>
      </c>
      <c r="C238" s="1">
        <v>2.975753E-4</v>
      </c>
      <c r="E238">
        <f t="shared" si="12"/>
        <v>2.4550999421852085E-2</v>
      </c>
      <c r="F238" s="1">
        <f t="shared" si="13"/>
        <v>1.8264427545643652E-3</v>
      </c>
      <c r="G238" s="1">
        <f t="shared" si="14"/>
        <v>8.4283589673445883E-4</v>
      </c>
      <c r="H238">
        <f t="shared" si="11"/>
        <v>2.975753E-4</v>
      </c>
      <c r="I238">
        <f>IF(E238&lt;($A$17),F238,H238)</f>
        <v>2.975753E-4</v>
      </c>
    </row>
    <row r="239" spans="2:9" x14ac:dyDescent="0.25">
      <c r="B239">
        <v>1.41283</v>
      </c>
      <c r="C239" s="1">
        <v>3.7754120000000002E-4</v>
      </c>
      <c r="E239">
        <f t="shared" si="12"/>
        <v>2.4656036437142502E-2</v>
      </c>
      <c r="F239" s="1">
        <f t="shared" si="13"/>
        <v>2.3271673959306262E-3</v>
      </c>
      <c r="G239" s="1">
        <f t="shared" si="14"/>
        <v>1.0730942104536379E-3</v>
      </c>
      <c r="H239">
        <f t="shared" si="11"/>
        <v>3.7754120000000002E-4</v>
      </c>
      <c r="I239">
        <f>IF(E239&lt;($A$17),F239,H239)</f>
        <v>3.7754120000000002E-4</v>
      </c>
    </row>
    <row r="240" spans="2:9" x14ac:dyDescent="0.25">
      <c r="B240">
        <v>1.4188400000000001</v>
      </c>
      <c r="C240" s="1">
        <v>2.8017869999999998E-4</v>
      </c>
      <c r="E240">
        <f t="shared" si="12"/>
        <v>2.476089870083029E-2</v>
      </c>
      <c r="F240" s="1">
        <f t="shared" si="13"/>
        <v>1.7343691022075796E-3</v>
      </c>
      <c r="G240" s="1">
        <f t="shared" si="14"/>
        <v>7.9914960883888033E-4</v>
      </c>
      <c r="H240">
        <f t="shared" si="11"/>
        <v>2.8017869999999998E-4</v>
      </c>
      <c r="I240">
        <f>IF(E240&lt;($A$17),F240,H240)</f>
        <v>2.8017869999999998E-4</v>
      </c>
    </row>
    <row r="241" spans="2:9" x14ac:dyDescent="0.25">
      <c r="B241">
        <v>1.4248499999999999</v>
      </c>
      <c r="C241" s="1">
        <v>3.510543E-4</v>
      </c>
      <c r="E241">
        <f t="shared" si="12"/>
        <v>2.4865760692078569E-2</v>
      </c>
      <c r="F241" s="1">
        <f t="shared" si="13"/>
        <v>2.1823080534312893E-3</v>
      </c>
      <c r="G241" s="1">
        <f t="shared" si="14"/>
        <v>1.00480421030389E-3</v>
      </c>
      <c r="H241">
        <f t="shared" si="11"/>
        <v>3.510543E-4</v>
      </c>
      <c r="I241">
        <f>IF(E241&lt;($A$17),F241,H241)</f>
        <v>3.510543E-4</v>
      </c>
    </row>
    <row r="242" spans="2:9" x14ac:dyDescent="0.25">
      <c r="B242">
        <v>1.43086</v>
      </c>
      <c r="C242" s="1">
        <v>3.0148950000000001E-4</v>
      </c>
      <c r="E242">
        <f t="shared" si="12"/>
        <v>2.4970622409733564E-2</v>
      </c>
      <c r="F242" s="1">
        <f t="shared" si="13"/>
        <v>1.8820951162498416E-3</v>
      </c>
      <c r="G242" s="1">
        <f t="shared" si="14"/>
        <v>8.6594089417493987E-4</v>
      </c>
      <c r="H242">
        <f t="shared" si="11"/>
        <v>3.0148950000000001E-4</v>
      </c>
      <c r="I242">
        <f>IF(E242&lt;($A$17),F242,H242)</f>
        <v>3.0148950000000001E-4</v>
      </c>
    </row>
    <row r="243" spans="2:9" x14ac:dyDescent="0.25">
      <c r="B243">
        <v>1.4368700000000001</v>
      </c>
      <c r="C243" s="1">
        <v>2.9813080000000002E-4</v>
      </c>
      <c r="E243">
        <f t="shared" si="12"/>
        <v>2.5075483852641516E-2</v>
      </c>
      <c r="F243" s="1">
        <f t="shared" si="13"/>
        <v>1.8689435153437745E-3</v>
      </c>
      <c r="G243" s="1">
        <f t="shared" si="14"/>
        <v>8.5926393583063432E-4</v>
      </c>
      <c r="H243">
        <f t="shared" si="11"/>
        <v>2.9813080000000002E-4</v>
      </c>
      <c r="I243">
        <f>IF(E243&lt;($A$17),F243,H243)</f>
        <v>2.9813080000000002E-4</v>
      </c>
    </row>
    <row r="244" spans="2:9" x14ac:dyDescent="0.25">
      <c r="B244">
        <v>1.44289</v>
      </c>
      <c r="C244" s="1">
        <v>3.3281860000000001E-4</v>
      </c>
      <c r="E244">
        <f t="shared" si="12"/>
        <v>2.5180519497233392E-2</v>
      </c>
      <c r="F244" s="1">
        <f t="shared" si="13"/>
        <v>2.0951363115854806E-3</v>
      </c>
      <c r="G244" s="1">
        <f t="shared" si="14"/>
        <v>9.6256109840248258E-4</v>
      </c>
      <c r="H244">
        <f t="shared" si="11"/>
        <v>3.3281860000000001E-4</v>
      </c>
      <c r="I244">
        <f>IF(E244&lt;($A$17),F244,H244)</f>
        <v>3.3281860000000001E-4</v>
      </c>
    </row>
    <row r="245" spans="2:9" x14ac:dyDescent="0.25">
      <c r="B245">
        <v>1.4489000000000001</v>
      </c>
      <c r="C245" s="1">
        <v>2.5557889999999999E-4</v>
      </c>
      <c r="E245">
        <f t="shared" si="12"/>
        <v>2.5285380386723962E-2</v>
      </c>
      <c r="F245" s="1">
        <f t="shared" si="13"/>
        <v>1.6156024263301212E-3</v>
      </c>
      <c r="G245" s="1">
        <f t="shared" si="14"/>
        <v>7.4171837200544602E-4</v>
      </c>
      <c r="H245">
        <f t="shared" si="11"/>
        <v>2.5557889999999999E-4</v>
      </c>
      <c r="I245">
        <f>IF(E245&lt;($A$17),F245,H245)</f>
        <v>2.5557889999999999E-4</v>
      </c>
    </row>
    <row r="246" spans="2:9" x14ac:dyDescent="0.25">
      <c r="B246">
        <v>1.4549099999999999</v>
      </c>
      <c r="C246" s="1">
        <v>3.3767120000000001E-4</v>
      </c>
      <c r="E246">
        <f t="shared" si="12"/>
        <v>2.5390240998004261E-2</v>
      </c>
      <c r="F246" s="1">
        <f t="shared" si="13"/>
        <v>2.143388286521324E-3</v>
      </c>
      <c r="G246" s="1">
        <f t="shared" si="14"/>
        <v>9.8332314887810313E-4</v>
      </c>
      <c r="H246">
        <f t="shared" si="11"/>
        <v>3.3767120000000001E-4</v>
      </c>
      <c r="I246">
        <f>IF(E246&lt;($A$17),F246,H246)</f>
        <v>3.3767120000000001E-4</v>
      </c>
    </row>
    <row r="247" spans="2:9" x14ac:dyDescent="0.25">
      <c r="B247">
        <v>1.46092</v>
      </c>
      <c r="C247" s="1">
        <v>2.5103780000000002E-4</v>
      </c>
      <c r="E247">
        <f t="shared" si="12"/>
        <v>2.5495101329920521E-2</v>
      </c>
      <c r="F247" s="1">
        <f t="shared" si="13"/>
        <v>1.6000585371600806E-3</v>
      </c>
      <c r="G247" s="1">
        <f t="shared" si="14"/>
        <v>7.335411441208306E-4</v>
      </c>
      <c r="H247">
        <f t="shared" si="11"/>
        <v>2.5103780000000002E-4</v>
      </c>
      <c r="I247">
        <f>IF(E247&lt;($A$17),F247,H247)</f>
        <v>2.5103780000000002E-4</v>
      </c>
    </row>
    <row r="248" spans="2:9" x14ac:dyDescent="0.25">
      <c r="B248">
        <v>1.4669300000000001</v>
      </c>
      <c r="C248" s="1">
        <v>3.0356440000000001E-4</v>
      </c>
      <c r="E248">
        <f t="shared" si="12"/>
        <v>2.5599961381318974E-2</v>
      </c>
      <c r="F248" s="1">
        <f t="shared" si="13"/>
        <v>1.9428092291858164E-3</v>
      </c>
      <c r="G248" s="1">
        <f t="shared" si="14"/>
        <v>8.9004970709061031E-4</v>
      </c>
      <c r="H248">
        <f t="shared" si="11"/>
        <v>3.0356440000000001E-4</v>
      </c>
      <c r="I248">
        <f>IF(E248&lt;($A$17),F248,H248)</f>
        <v>3.0356440000000001E-4</v>
      </c>
    </row>
    <row r="249" spans="2:9" x14ac:dyDescent="0.25">
      <c r="B249">
        <v>1.47295</v>
      </c>
      <c r="C249" s="1">
        <v>2.7892020000000001E-4</v>
      </c>
      <c r="E249">
        <f t="shared" si="12"/>
        <v>2.5704995626300908E-2</v>
      </c>
      <c r="F249" s="1">
        <f t="shared" si="13"/>
        <v>1.7924106302717438E-3</v>
      </c>
      <c r="G249" s="1">
        <f t="shared" si="14"/>
        <v>8.2057613950326262E-4</v>
      </c>
      <c r="H249">
        <f t="shared" si="11"/>
        <v>2.7892020000000001E-4</v>
      </c>
      <c r="I249">
        <f>IF(E249&lt;($A$17),F249,H249)</f>
        <v>2.7892020000000001E-4</v>
      </c>
    </row>
    <row r="250" spans="2:9" x14ac:dyDescent="0.25">
      <c r="B250">
        <v>1.4789600000000001</v>
      </c>
      <c r="C250" s="1">
        <v>2.526626E-4</v>
      </c>
      <c r="E250">
        <f t="shared" si="12"/>
        <v>2.5809855112730956E-2</v>
      </c>
      <c r="F250" s="1">
        <f t="shared" si="13"/>
        <v>1.6302962746014738E-3</v>
      </c>
      <c r="G250" s="1">
        <f t="shared" si="14"/>
        <v>7.4584388434856014E-4</v>
      </c>
      <c r="H250">
        <f t="shared" si="11"/>
        <v>2.526626E-4</v>
      </c>
      <c r="I250">
        <f>IF(E250&lt;($A$17),F250,H250)</f>
        <v>2.526626E-4</v>
      </c>
    </row>
    <row r="251" spans="2:9" x14ac:dyDescent="0.25">
      <c r="B251">
        <v>1.4849699999999999</v>
      </c>
      <c r="C251" s="1">
        <v>3.0567590000000003E-4</v>
      </c>
      <c r="E251">
        <f t="shared" si="12"/>
        <v>2.5914714315180023E-2</v>
      </c>
      <c r="F251" s="1">
        <f t="shared" si="13"/>
        <v>1.9803759053838841E-3</v>
      </c>
      <c r="G251" s="1">
        <f t="shared" si="14"/>
        <v>9.0538079404587604E-4</v>
      </c>
      <c r="H251">
        <f t="shared" si="11"/>
        <v>3.0567590000000003E-4</v>
      </c>
      <c r="I251">
        <f>IF(E251&lt;($A$17),F251,H251)</f>
        <v>3.0567590000000003E-4</v>
      </c>
    </row>
    <row r="252" spans="2:9" x14ac:dyDescent="0.25">
      <c r="B252">
        <v>1.49098</v>
      </c>
      <c r="C252" s="1">
        <v>2.2188120000000001E-4</v>
      </c>
      <c r="E252">
        <f t="shared" si="12"/>
        <v>2.6019573232494372E-2</v>
      </c>
      <c r="F252" s="1">
        <f t="shared" si="13"/>
        <v>1.4433135330784326E-3</v>
      </c>
      <c r="G252" s="1">
        <f t="shared" si="14"/>
        <v>6.5939974256980444E-4</v>
      </c>
      <c r="H252">
        <f t="shared" si="11"/>
        <v>2.2188120000000001E-4</v>
      </c>
      <c r="I252">
        <f>IF(E252&lt;($A$17),F252,H252)</f>
        <v>2.2188120000000001E-4</v>
      </c>
    </row>
    <row r="253" spans="2:9" x14ac:dyDescent="0.25">
      <c r="B253">
        <v>1.49699</v>
      </c>
      <c r="C253" s="1">
        <v>2.9967470000000001E-4</v>
      </c>
      <c r="E253">
        <f t="shared" si="12"/>
        <v>2.6124431863520262E-2</v>
      </c>
      <c r="F253" s="1">
        <f t="shared" si="13"/>
        <v>1.957207820342719E-3</v>
      </c>
      <c r="G253" s="1">
        <f t="shared" si="14"/>
        <v>8.9357632173023326E-4</v>
      </c>
      <c r="H253">
        <f t="shared" si="11"/>
        <v>2.9967470000000001E-4</v>
      </c>
      <c r="I253">
        <f>IF(E253&lt;($A$17),F253,H253)</f>
        <v>2.9967470000000001E-4</v>
      </c>
    </row>
    <row r="254" spans="2:9" x14ac:dyDescent="0.25">
      <c r="B254">
        <v>1.50301</v>
      </c>
      <c r="C254" s="1">
        <v>2.3004460000000001E-4</v>
      </c>
      <c r="E254">
        <f t="shared" si="12"/>
        <v>2.6229464679981211E-2</v>
      </c>
      <c r="F254" s="1">
        <f t="shared" si="13"/>
        <v>1.5084866776301014E-3</v>
      </c>
      <c r="G254" s="1">
        <f t="shared" si="14"/>
        <v>6.8824723749943853E-4</v>
      </c>
      <c r="H254">
        <f t="shared" si="11"/>
        <v>2.3004460000000001E-4</v>
      </c>
      <c r="I254">
        <f>IF(E254&lt;($A$17),F254,H254)</f>
        <v>2.3004460000000001E-4</v>
      </c>
    </row>
    <row r="255" spans="2:9" x14ac:dyDescent="0.25">
      <c r="B255">
        <v>1.50902</v>
      </c>
      <c r="C255" s="1">
        <v>2.5922160000000001E-4</v>
      </c>
      <c r="E255">
        <f t="shared" si="12"/>
        <v>2.6334322734487808E-2</v>
      </c>
      <c r="F255" s="1">
        <f t="shared" si="13"/>
        <v>1.7066063185375761E-3</v>
      </c>
      <c r="G255" s="1">
        <f t="shared" si="14"/>
        <v>7.7812120104427888E-4</v>
      </c>
      <c r="H255">
        <f t="shared" si="11"/>
        <v>2.5922160000000001E-4</v>
      </c>
      <c r="I255">
        <f>IF(E255&lt;($A$17),F255,H255)</f>
        <v>2.5922160000000001E-4</v>
      </c>
    </row>
    <row r="256" spans="2:9" x14ac:dyDescent="0.25">
      <c r="B256">
        <v>1.5150300000000001</v>
      </c>
      <c r="C256" s="1">
        <v>2.6134699999999999E-4</v>
      </c>
      <c r="E256">
        <f t="shared" si="12"/>
        <v>2.64391804992428E-2</v>
      </c>
      <c r="F256" s="1">
        <f t="shared" si="13"/>
        <v>1.7274501264839019E-3</v>
      </c>
      <c r="G256" s="1">
        <f t="shared" si="14"/>
        <v>7.8710454806388275E-4</v>
      </c>
      <c r="H256">
        <f t="shared" si="11"/>
        <v>2.6134699999999999E-4</v>
      </c>
      <c r="I256">
        <f>IF(E256&lt;($A$17),F256,H256)</f>
        <v>2.6134699999999999E-4</v>
      </c>
    </row>
    <row r="257" spans="2:9" x14ac:dyDescent="0.25">
      <c r="B257">
        <v>1.5210399999999999</v>
      </c>
      <c r="C257" s="1">
        <v>2.136614E-4</v>
      </c>
      <c r="E257">
        <f t="shared" si="12"/>
        <v>2.6544037973092474E-2</v>
      </c>
      <c r="F257" s="1">
        <f t="shared" si="13"/>
        <v>1.4178590787460249E-3</v>
      </c>
      <c r="G257" s="1">
        <f t="shared" si="14"/>
        <v>6.4561714992348955E-4</v>
      </c>
      <c r="H257">
        <f t="shared" si="11"/>
        <v>2.136614E-4</v>
      </c>
      <c r="I257">
        <f>IF(E257&lt;($A$17),F257,H257)</f>
        <v>2.136614E-4</v>
      </c>
    </row>
    <row r="258" spans="2:9" x14ac:dyDescent="0.25">
      <c r="B258">
        <v>1.52705</v>
      </c>
      <c r="C258" s="1">
        <v>2.79933E-4</v>
      </c>
      <c r="E258">
        <f t="shared" si="12"/>
        <v>2.6648895154883102E-2</v>
      </c>
      <c r="F258" s="1">
        <f t="shared" si="13"/>
        <v>1.8649762918479728E-3</v>
      </c>
      <c r="G258" s="1">
        <f t="shared" si="14"/>
        <v>8.4865749090222962E-4</v>
      </c>
      <c r="H258">
        <f t="shared" si="11"/>
        <v>2.79933E-4</v>
      </c>
      <c r="I258">
        <f>IF(E258&lt;($A$17),F258,H258)</f>
        <v>2.79933E-4</v>
      </c>
    </row>
    <row r="259" spans="2:9" x14ac:dyDescent="0.25">
      <c r="B259">
        <v>1.5330699999999999</v>
      </c>
      <c r="C259" s="1">
        <v>1.9667369999999999E-4</v>
      </c>
      <c r="E259">
        <f t="shared" si="12"/>
        <v>2.6753926513912431E-2</v>
      </c>
      <c r="F259" s="1">
        <f t="shared" si="13"/>
        <v>1.3154484292548147E-3</v>
      </c>
      <c r="G259" s="1">
        <f t="shared" si="14"/>
        <v>5.9820725311682959E-4</v>
      </c>
      <c r="H259">
        <f t="shared" si="11"/>
        <v>1.9667369999999999E-4</v>
      </c>
      <c r="I259">
        <f>IF(E259&lt;($A$17),F259,H259)</f>
        <v>1.9667369999999999E-4</v>
      </c>
    </row>
    <row r="260" spans="2:9" x14ac:dyDescent="0.25">
      <c r="B260">
        <v>1.53908</v>
      </c>
      <c r="C260" s="1">
        <v>2.6232689999999999E-4</v>
      </c>
      <c r="E260">
        <f t="shared" si="12"/>
        <v>2.6858783107633028E-2</v>
      </c>
      <c r="F260" s="1">
        <f t="shared" si="13"/>
        <v>1.7614453275994345E-3</v>
      </c>
      <c r="G260" s="1">
        <f t="shared" si="14"/>
        <v>8.0051267448778515E-4</v>
      </c>
      <c r="H260">
        <f t="shared" si="11"/>
        <v>2.6232689999999999E-4</v>
      </c>
      <c r="I260">
        <f>IF(E260&lt;($A$17),F260,H260)</f>
        <v>2.6232689999999999E-4</v>
      </c>
    </row>
    <row r="261" spans="2:9" x14ac:dyDescent="0.25">
      <c r="B261">
        <v>1.5450900000000001</v>
      </c>
      <c r="C261" s="1">
        <v>2.1588219999999999E-4</v>
      </c>
      <c r="E261">
        <f t="shared" si="12"/>
        <v>2.6963639405831498E-2</v>
      </c>
      <c r="F261" s="1">
        <f t="shared" si="13"/>
        <v>1.4552424487343989E-3</v>
      </c>
      <c r="G261" s="1">
        <f t="shared" si="14"/>
        <v>6.6093323051907165E-4</v>
      </c>
      <c r="H261">
        <f t="shared" ref="H261:H324" si="15">IF(E261&gt;($A$19),C261,G261)</f>
        <v>2.1588219999999999E-4</v>
      </c>
      <c r="I261">
        <f>IF(E261&lt;($A$17),F261,H261)</f>
        <v>2.1588219999999999E-4</v>
      </c>
    </row>
    <row r="262" spans="2:9" x14ac:dyDescent="0.25">
      <c r="B262">
        <v>1.5510999999999999</v>
      </c>
      <c r="C262" s="1">
        <v>2.1842610000000001E-4</v>
      </c>
      <c r="E262">
        <f t="shared" ref="E262:E325" si="16">SIN(B262/180*PI())</f>
        <v>2.7068495407354117E-2</v>
      </c>
      <c r="F262" s="1">
        <f t="shared" ref="F262:F325" si="17">C262*$A$5/$A$7*SIN(B262/180*PI())</f>
        <v>1.4781164711740679E-3</v>
      </c>
      <c r="G262" s="1">
        <f t="shared" ref="G262:G325" si="18">C262*(1/2+($A$5/(2*$A$7)-$A$9/$A$7)*SIN(B262/180*PI()))</f>
        <v>6.7089730904614571E-4</v>
      </c>
      <c r="H262">
        <f t="shared" si="15"/>
        <v>2.1842610000000001E-4</v>
      </c>
      <c r="I262">
        <f>IF(E262&lt;($A$17),F262,H262)</f>
        <v>2.1842610000000001E-4</v>
      </c>
    </row>
    <row r="263" spans="2:9" x14ac:dyDescent="0.25">
      <c r="B263">
        <v>1.55711</v>
      </c>
      <c r="C263" s="1">
        <v>2.4632279999999999E-4</v>
      </c>
      <c r="E263">
        <f t="shared" si="16"/>
        <v>2.7173351111047177E-2</v>
      </c>
      <c r="F263" s="1">
        <f t="shared" si="17"/>
        <v>1.6733539827640627E-3</v>
      </c>
      <c r="G263" s="1">
        <f t="shared" si="18"/>
        <v>7.5903591345034393E-4</v>
      </c>
      <c r="H263">
        <f t="shared" si="15"/>
        <v>2.4632279999999999E-4</v>
      </c>
      <c r="I263">
        <f>IF(E263&lt;($A$17),F263,H263)</f>
        <v>2.4632279999999999E-4</v>
      </c>
    </row>
    <row r="264" spans="2:9" x14ac:dyDescent="0.25">
      <c r="B264">
        <v>1.5631299999999999</v>
      </c>
      <c r="C264" s="1">
        <v>1.820363E-4</v>
      </c>
      <c r="E264">
        <f t="shared" si="16"/>
        <v>2.7278380983734651E-2</v>
      </c>
      <c r="F264" s="1">
        <f t="shared" si="17"/>
        <v>1.2414138860673538E-3</v>
      </c>
      <c r="G264" s="1">
        <f t="shared" si="18"/>
        <v>5.6275542670559443E-4</v>
      </c>
      <c r="H264">
        <f t="shared" si="15"/>
        <v>1.820363E-4</v>
      </c>
      <c r="I264">
        <f>IF(E264&lt;($A$17),F264,H264)</f>
        <v>1.820363E-4</v>
      </c>
    </row>
    <row r="265" spans="2:9" x14ac:dyDescent="0.25">
      <c r="B265">
        <v>1.56914</v>
      </c>
      <c r="C265" s="1">
        <v>2.5359150000000001E-4</v>
      </c>
      <c r="E265">
        <f t="shared" si="16"/>
        <v>2.7383236087807128E-2</v>
      </c>
      <c r="F265" s="1">
        <f t="shared" si="17"/>
        <v>1.7360389785902851E-3</v>
      </c>
      <c r="G265" s="1">
        <f t="shared" si="18"/>
        <v>7.8649056186430848E-4</v>
      </c>
      <c r="H265">
        <f t="shared" si="15"/>
        <v>2.5359150000000001E-4</v>
      </c>
      <c r="I265">
        <f>IF(E265&lt;($A$17),F265,H265)</f>
        <v>2.5359150000000001E-4</v>
      </c>
    </row>
    <row r="266" spans="2:9" x14ac:dyDescent="0.25">
      <c r="B266">
        <v>1.5751500000000001</v>
      </c>
      <c r="C266" s="1">
        <v>1.797146E-4</v>
      </c>
      <c r="E266">
        <f t="shared" si="16"/>
        <v>2.7488090890587017E-2</v>
      </c>
      <c r="F266" s="1">
        <f t="shared" si="17"/>
        <v>1.2350028147913722E-3</v>
      </c>
      <c r="G266" s="1">
        <f t="shared" si="18"/>
        <v>5.5915836962072154E-4</v>
      </c>
      <c r="H266">
        <f t="shared" si="15"/>
        <v>1.797146E-4</v>
      </c>
      <c r="I266">
        <f>IF(E266&lt;($A$17),F266,H266)</f>
        <v>1.797146E-4</v>
      </c>
    </row>
    <row r="267" spans="2:9" x14ac:dyDescent="0.25">
      <c r="B267">
        <v>1.5811599999999999</v>
      </c>
      <c r="C267" s="1">
        <v>2.25367E-4</v>
      </c>
      <c r="E267">
        <f t="shared" si="16"/>
        <v>2.7592945390920609E-2</v>
      </c>
      <c r="F267" s="1">
        <f t="shared" si="17"/>
        <v>1.5546348309789012E-3</v>
      </c>
      <c r="G267" s="1">
        <f t="shared" si="18"/>
        <v>7.0344473577198252E-4</v>
      </c>
      <c r="H267">
        <f t="shared" si="15"/>
        <v>2.25367E-4</v>
      </c>
      <c r="I267">
        <f>IF(E267&lt;($A$17),F267,H267)</f>
        <v>2.25367E-4</v>
      </c>
    </row>
    <row r="268" spans="2:9" x14ac:dyDescent="0.25">
      <c r="B268">
        <v>1.58717</v>
      </c>
      <c r="C268" s="1">
        <v>2.065851E-4</v>
      </c>
      <c r="E268">
        <f t="shared" si="16"/>
        <v>2.7697799587654229E-2</v>
      </c>
      <c r="F268" s="1">
        <f t="shared" si="17"/>
        <v>1.4304881743988768E-3</v>
      </c>
      <c r="G268" s="1">
        <f t="shared" si="18"/>
        <v>6.4687805627157327E-4</v>
      </c>
      <c r="H268">
        <f t="shared" si="15"/>
        <v>2.065851E-4</v>
      </c>
      <c r="I268">
        <f>IF(E268&lt;($A$17),F268,H268)</f>
        <v>2.065851E-4</v>
      </c>
    </row>
    <row r="269" spans="2:9" x14ac:dyDescent="0.25">
      <c r="B269">
        <v>1.5931900000000001</v>
      </c>
      <c r="C269" s="1">
        <v>1.8233609999999999E-4</v>
      </c>
      <c r="E269">
        <f t="shared" si="16"/>
        <v>2.7802827945090019E-2</v>
      </c>
      <c r="F269" s="1">
        <f t="shared" si="17"/>
        <v>1.2673648041196819E-3</v>
      </c>
      <c r="G269" s="1">
        <f t="shared" si="18"/>
        <v>5.7276667556547915E-4</v>
      </c>
      <c r="H269">
        <f t="shared" si="15"/>
        <v>1.8233609999999999E-4</v>
      </c>
      <c r="I269">
        <f>IF(E269&lt;($A$17),F269,H269)</f>
        <v>1.8233609999999999E-4</v>
      </c>
    </row>
    <row r="270" spans="2:9" x14ac:dyDescent="0.25">
      <c r="B270">
        <v>1.5992</v>
      </c>
      <c r="C270" s="1">
        <v>2.3131709999999999E-4</v>
      </c>
      <c r="E270">
        <f t="shared" si="16"/>
        <v>2.7907681530652647E-2</v>
      </c>
      <c r="F270" s="1">
        <f t="shared" si="17"/>
        <v>1.6138809898485328E-3</v>
      </c>
      <c r="G270" s="1">
        <f t="shared" si="18"/>
        <v>7.2893332614244245E-4</v>
      </c>
      <c r="H270">
        <f t="shared" si="15"/>
        <v>2.3131709999999999E-4</v>
      </c>
      <c r="I270">
        <f>IF(E270&lt;($A$17),F270,H270)</f>
        <v>2.3131709999999999E-4</v>
      </c>
    </row>
    <row r="271" spans="2:9" x14ac:dyDescent="0.25">
      <c r="B271">
        <v>1.60521</v>
      </c>
      <c r="C271" s="1">
        <v>1.5861759999999999E-4</v>
      </c>
      <c r="E271">
        <f t="shared" si="16"/>
        <v>2.8012534809152306E-2</v>
      </c>
      <c r="F271" s="1">
        <f t="shared" si="17"/>
        <v>1.1108202603360489E-3</v>
      </c>
      <c r="G271" s="1">
        <f t="shared" si="18"/>
        <v>5.0142049892769867E-4</v>
      </c>
      <c r="H271">
        <f t="shared" si="15"/>
        <v>1.5861759999999999E-4</v>
      </c>
      <c r="I271">
        <f>IF(E271&lt;($A$17),F271,H271)</f>
        <v>1.5861759999999999E-4</v>
      </c>
    </row>
    <row r="272" spans="2:9" x14ac:dyDescent="0.25">
      <c r="B272">
        <v>1.6112200000000001</v>
      </c>
      <c r="C272" s="1">
        <v>2.2542109999999999E-4</v>
      </c>
      <c r="E272">
        <f t="shared" si="16"/>
        <v>2.8117387779435329E-2</v>
      </c>
      <c r="F272" s="1">
        <f t="shared" si="17"/>
        <v>1.5845631205917169E-3</v>
      </c>
      <c r="G272" s="1">
        <f t="shared" si="18"/>
        <v>7.1484453582485255E-4</v>
      </c>
      <c r="H272">
        <f t="shared" si="15"/>
        <v>2.2542109999999999E-4</v>
      </c>
      <c r="I272">
        <f>IF(E272&lt;($A$17),F272,H272)</f>
        <v>2.2542109999999999E-4</v>
      </c>
    </row>
    <row r="273" spans="2:9" x14ac:dyDescent="0.25">
      <c r="B273">
        <v>1.6172299999999999</v>
      </c>
      <c r="C273" s="1">
        <v>1.7000380000000001E-4</v>
      </c>
      <c r="E273">
        <f t="shared" si="16"/>
        <v>2.8222240440348021E-2</v>
      </c>
      <c r="F273" s="1">
        <f t="shared" si="17"/>
        <v>1.1994720298432093E-3</v>
      </c>
      <c r="G273" s="1">
        <f t="shared" si="18"/>
        <v>5.4080127134041958E-4</v>
      </c>
      <c r="H273">
        <f t="shared" si="15"/>
        <v>1.7000380000000001E-4</v>
      </c>
      <c r="I273">
        <f>IF(E273&lt;($A$17),F273,H273)</f>
        <v>1.7000380000000001E-4</v>
      </c>
    </row>
    <row r="274" spans="2:9" x14ac:dyDescent="0.25">
      <c r="B274">
        <v>1.6232500000000001</v>
      </c>
      <c r="C274" s="1">
        <v>1.8959160000000001E-4</v>
      </c>
      <c r="E274">
        <f t="shared" si="16"/>
        <v>2.8327267253622713E-2</v>
      </c>
      <c r="F274" s="1">
        <f t="shared" si="17"/>
        <v>1.3426529805604841E-3</v>
      </c>
      <c r="G274" s="1">
        <f t="shared" si="18"/>
        <v>6.0500393261298392E-4</v>
      </c>
      <c r="H274">
        <f t="shared" si="15"/>
        <v>1.8959160000000001E-4</v>
      </c>
      <c r="I274">
        <f>IF(E274&lt;($A$17),F274,H274)</f>
        <v>1.8959160000000001E-4</v>
      </c>
    </row>
    <row r="275" spans="2:9" x14ac:dyDescent="0.25">
      <c r="B275">
        <v>1.6292599999999999</v>
      </c>
      <c r="C275" s="1">
        <v>1.995965E-4</v>
      </c>
      <c r="E275">
        <f t="shared" si="16"/>
        <v>2.8432119291814183E-2</v>
      </c>
      <c r="F275" s="1">
        <f t="shared" si="17"/>
        <v>1.4187378745571472E-3</v>
      </c>
      <c r="G275" s="1">
        <f t="shared" si="18"/>
        <v>6.3891864233171607E-4</v>
      </c>
      <c r="H275">
        <f t="shared" si="15"/>
        <v>1.995965E-4</v>
      </c>
      <c r="I275">
        <f>IF(E275&lt;($A$17),F275,H275)</f>
        <v>1.995965E-4</v>
      </c>
    </row>
    <row r="276" spans="2:9" x14ac:dyDescent="0.25">
      <c r="B276">
        <v>1.63527</v>
      </c>
      <c r="C276" s="1">
        <v>1.5252859999999999E-4</v>
      </c>
      <c r="E276">
        <f t="shared" si="16"/>
        <v>2.8536971017172407E-2</v>
      </c>
      <c r="F276" s="1">
        <f t="shared" si="17"/>
        <v>1.0881760593724706E-3</v>
      </c>
      <c r="G276" s="1">
        <f t="shared" si="18"/>
        <v>4.897712025615389E-4</v>
      </c>
      <c r="H276">
        <f t="shared" si="15"/>
        <v>1.5252859999999999E-4</v>
      </c>
      <c r="I276">
        <f>IF(E276&lt;($A$17),F276,H276)</f>
        <v>1.5252859999999999E-4</v>
      </c>
    </row>
    <row r="277" spans="2:9" x14ac:dyDescent="0.25">
      <c r="B277">
        <v>1.6412800000000001</v>
      </c>
      <c r="C277" s="1">
        <v>2.1411330000000001E-4</v>
      </c>
      <c r="E277">
        <f t="shared" si="16"/>
        <v>2.8641822428543712E-2</v>
      </c>
      <c r="F277" s="1">
        <f t="shared" si="17"/>
        <v>1.533148779547377E-3</v>
      </c>
      <c r="G277" s="1">
        <f t="shared" si="18"/>
        <v>6.8965318622800332E-4</v>
      </c>
      <c r="H277">
        <f t="shared" si="15"/>
        <v>2.1411330000000001E-4</v>
      </c>
      <c r="I277">
        <f>IF(E277&lt;($A$17),F277,H277)</f>
        <v>2.1411330000000001E-4</v>
      </c>
    </row>
    <row r="278" spans="2:9" x14ac:dyDescent="0.25">
      <c r="B278">
        <v>1.6472899999999999</v>
      </c>
      <c r="C278" s="1">
        <v>1.436748E-4</v>
      </c>
      <c r="E278">
        <f t="shared" si="16"/>
        <v>2.8746673524774433E-2</v>
      </c>
      <c r="F278" s="1">
        <f t="shared" si="17"/>
        <v>1.0325431423343153E-3</v>
      </c>
      <c r="G278" s="1">
        <f t="shared" si="18"/>
        <v>4.6420379408703983E-4</v>
      </c>
      <c r="H278">
        <f t="shared" si="15"/>
        <v>1.436748E-4</v>
      </c>
      <c r="I278">
        <f>IF(E278&lt;($A$17),F278,H278)</f>
        <v>1.436748E-4</v>
      </c>
    </row>
    <row r="279" spans="2:9" x14ac:dyDescent="0.25">
      <c r="B279">
        <v>1.6533100000000001</v>
      </c>
      <c r="C279" s="1">
        <v>1.9528629999999999E-4</v>
      </c>
      <c r="E279">
        <f t="shared" si="16"/>
        <v>2.8851698764979047E-2</v>
      </c>
      <c r="F279" s="1">
        <f t="shared" si="17"/>
        <v>1.4085853751318318E-3</v>
      </c>
      <c r="G279" s="1">
        <f t="shared" si="18"/>
        <v>6.3290559255009613E-4</v>
      </c>
      <c r="H279">
        <f t="shared" si="15"/>
        <v>1.9528629999999999E-4</v>
      </c>
      <c r="I279">
        <f>IF(E279&lt;($A$17),F279,H279)</f>
        <v>1.9528629999999999E-4</v>
      </c>
    </row>
    <row r="280" spans="2:9" x14ac:dyDescent="0.25">
      <c r="B280">
        <v>1.6593199999999999</v>
      </c>
      <c r="C280" s="1">
        <v>1.656021E-4</v>
      </c>
      <c r="E280">
        <f t="shared" si="16"/>
        <v>2.8956549226938487E-2</v>
      </c>
      <c r="F280" s="1">
        <f t="shared" si="17"/>
        <v>1.1988163401835973E-3</v>
      </c>
      <c r="G280" s="1">
        <f t="shared" si="18"/>
        <v>5.3835125926976707E-4</v>
      </c>
      <c r="H280">
        <f t="shared" si="15"/>
        <v>1.656021E-4</v>
      </c>
      <c r="I280">
        <f>IF(E280&lt;($A$17),F280,H280)</f>
        <v>1.656021E-4</v>
      </c>
    </row>
    <row r="281" spans="2:9" x14ac:dyDescent="0.25">
      <c r="B281">
        <v>1.66533</v>
      </c>
      <c r="C281" s="1">
        <v>1.567219E-4</v>
      </c>
      <c r="E281">
        <f t="shared" si="16"/>
        <v>2.906139937029447E-2</v>
      </c>
      <c r="F281" s="1">
        <f t="shared" si="17"/>
        <v>1.1386394314928381E-3</v>
      </c>
      <c r="G281" s="1">
        <f t="shared" si="18"/>
        <v>5.1104393396727849E-4</v>
      </c>
      <c r="H281">
        <f t="shared" si="15"/>
        <v>1.567219E-4</v>
      </c>
      <c r="I281">
        <f>IF(E281&lt;($A$17),F281,H281)</f>
        <v>1.567219E-4</v>
      </c>
    </row>
    <row r="282" spans="2:9" x14ac:dyDescent="0.25">
      <c r="B282">
        <v>1.67134</v>
      </c>
      <c r="C282" s="1">
        <v>1.9206900000000001E-4</v>
      </c>
      <c r="E282">
        <f t="shared" si="16"/>
        <v>2.9166249193893354E-2</v>
      </c>
      <c r="F282" s="1">
        <f t="shared" si="17"/>
        <v>1.4004830791054755E-3</v>
      </c>
      <c r="G282" s="1">
        <f t="shared" si="18"/>
        <v>6.2821807006008072E-4</v>
      </c>
      <c r="H282">
        <f t="shared" si="15"/>
        <v>1.9206900000000001E-4</v>
      </c>
      <c r="I282">
        <f>IF(E282&lt;($A$17),F282,H282)</f>
        <v>1.9206900000000001E-4</v>
      </c>
    </row>
    <row r="283" spans="2:9" x14ac:dyDescent="0.25">
      <c r="B283">
        <v>1.6773499999999999</v>
      </c>
      <c r="C283" s="1">
        <v>1.3049519999999999E-4</v>
      </c>
      <c r="E283">
        <f t="shared" si="16"/>
        <v>2.9271098696581486E-2</v>
      </c>
      <c r="F283" s="1">
        <f t="shared" si="17"/>
        <v>9.5493446965753492E-4</v>
      </c>
      <c r="G283" s="1">
        <f t="shared" si="18"/>
        <v>4.2812269846986329E-4</v>
      </c>
      <c r="H283">
        <f t="shared" si="15"/>
        <v>1.3049519999999999E-4</v>
      </c>
      <c r="I283">
        <f>IF(E283&lt;($A$17),F283,H283)</f>
        <v>1.3049519999999999E-4</v>
      </c>
    </row>
    <row r="284" spans="2:9" x14ac:dyDescent="0.25">
      <c r="B284">
        <v>1.68337</v>
      </c>
      <c r="C284" s="1">
        <v>1.933192E-4</v>
      </c>
      <c r="E284">
        <f t="shared" si="16"/>
        <v>2.9376122334807464E-2</v>
      </c>
      <c r="F284" s="1">
        <f t="shared" si="17"/>
        <v>1.4197421172167776E-3</v>
      </c>
      <c r="G284" s="1">
        <f t="shared" si="18"/>
        <v>6.3616160454237557E-4</v>
      </c>
      <c r="H284">
        <f t="shared" si="15"/>
        <v>1.933192E-4</v>
      </c>
      <c r="I284">
        <f>IF(E284&lt;($A$17),F284,H284)</f>
        <v>1.933192E-4</v>
      </c>
    </row>
    <row r="285" spans="2:9" x14ac:dyDescent="0.25">
      <c r="B285">
        <v>1.6893800000000001</v>
      </c>
      <c r="C285" s="1">
        <v>1.3647989999999999E-4</v>
      </c>
      <c r="E285">
        <f t="shared" si="16"/>
        <v>2.9480971191674428E-2</v>
      </c>
      <c r="F285" s="1">
        <f t="shared" si="17"/>
        <v>1.0058900000356516E-3</v>
      </c>
      <c r="G285" s="1">
        <f t="shared" si="18"/>
        <v>4.5047815001354762E-4</v>
      </c>
      <c r="H285">
        <f t="shared" si="15"/>
        <v>1.3647989999999999E-4</v>
      </c>
      <c r="I285">
        <f>IF(E285&lt;($A$17),F285,H285)</f>
        <v>1.3647989999999999E-4</v>
      </c>
    </row>
    <row r="286" spans="2:9" x14ac:dyDescent="0.25">
      <c r="B286">
        <v>1.69539</v>
      </c>
      <c r="C286" s="1">
        <v>1.6430350000000001E-4</v>
      </c>
      <c r="E286">
        <f t="shared" si="16"/>
        <v>2.9585819724167815E-2</v>
      </c>
      <c r="F286" s="1">
        <f t="shared" si="17"/>
        <v>1.2152634327624516E-3</v>
      </c>
      <c r="G286" s="1">
        <f t="shared" si="18"/>
        <v>5.4395185444973165E-4</v>
      </c>
      <c r="H286">
        <f t="shared" si="15"/>
        <v>1.6430350000000001E-4</v>
      </c>
      <c r="I286">
        <f>IF(E286&lt;($A$17),F286,H286)</f>
        <v>1.6430350000000001E-4</v>
      </c>
    </row>
    <row r="287" spans="2:9" x14ac:dyDescent="0.25">
      <c r="B287">
        <v>1.7014</v>
      </c>
      <c r="C287" s="1">
        <v>1.6372040000000001E-4</v>
      </c>
      <c r="E287">
        <f t="shared" si="16"/>
        <v>2.9690667931134011E-2</v>
      </c>
      <c r="F287" s="1">
        <f t="shared" si="17"/>
        <v>1.2152420074881081E-3</v>
      </c>
      <c r="G287" s="1">
        <f t="shared" si="18"/>
        <v>5.4365216284548118E-4</v>
      </c>
      <c r="H287">
        <f t="shared" si="15"/>
        <v>1.6372040000000001E-4</v>
      </c>
      <c r="I287">
        <f>IF(E287&lt;($A$17),F287,H287)</f>
        <v>1.6372040000000001E-4</v>
      </c>
    </row>
    <row r="288" spans="2:9" x14ac:dyDescent="0.25">
      <c r="B288">
        <v>1.7074100000000001</v>
      </c>
      <c r="C288" s="1">
        <v>1.290071E-4</v>
      </c>
      <c r="E288">
        <f t="shared" si="16"/>
        <v>2.9795515811419371E-2</v>
      </c>
      <c r="F288" s="1">
        <f t="shared" si="17"/>
        <v>9.6095827195883982E-4</v>
      </c>
      <c r="G288" s="1">
        <f t="shared" si="18"/>
        <v>4.296676933443592E-4</v>
      </c>
      <c r="H288">
        <f t="shared" si="15"/>
        <v>1.290071E-4</v>
      </c>
      <c r="I288">
        <f>IF(E288&lt;($A$17),F288,H288)</f>
        <v>1.290071E-4</v>
      </c>
    </row>
    <row r="289" spans="2:9" x14ac:dyDescent="0.25">
      <c r="B289">
        <v>1.71343</v>
      </c>
      <c r="C289" s="1">
        <v>1.8143710000000001E-4</v>
      </c>
      <c r="E289">
        <f t="shared" si="16"/>
        <v>2.9900537818758594E-2</v>
      </c>
      <c r="F289" s="1">
        <f t="shared" si="17"/>
        <v>1.3562667175689711E-3</v>
      </c>
      <c r="G289" s="1">
        <f t="shared" si="18"/>
        <v>6.0609990267620909E-4</v>
      </c>
      <c r="H289">
        <f t="shared" si="15"/>
        <v>1.8143710000000001E-4</v>
      </c>
      <c r="I289">
        <f>IF(E289&lt;($A$17),F289,H289)</f>
        <v>1.8143710000000001E-4</v>
      </c>
    </row>
    <row r="290" spans="2:9" x14ac:dyDescent="0.25">
      <c r="B290">
        <v>1.7194400000000001</v>
      </c>
      <c r="C290" s="1">
        <v>1.170132E-4</v>
      </c>
      <c r="E290">
        <f t="shared" si="16"/>
        <v>3.0005385041673084E-2</v>
      </c>
      <c r="F290" s="1">
        <f t="shared" si="17"/>
        <v>8.7775653023957516E-4</v>
      </c>
      <c r="G290" s="1">
        <f t="shared" si="18"/>
        <v>3.9205408149103861E-4</v>
      </c>
      <c r="H290">
        <f t="shared" si="15"/>
        <v>1.170132E-4</v>
      </c>
      <c r="I290">
        <f>IF(E290&lt;($A$17),F290,H290)</f>
        <v>1.170132E-4</v>
      </c>
    </row>
    <row r="291" spans="2:9" x14ac:dyDescent="0.25">
      <c r="B291">
        <v>1.7254499999999999</v>
      </c>
      <c r="C291" s="1">
        <v>1.688064E-4</v>
      </c>
      <c r="E291">
        <f t="shared" si="16"/>
        <v>3.0110231934443964E-2</v>
      </c>
      <c r="F291" s="1">
        <f t="shared" si="17"/>
        <v>1.2706999640046302E-3</v>
      </c>
      <c r="G291" s="1">
        <f t="shared" si="18"/>
        <v>5.6726918632175958E-4</v>
      </c>
      <c r="H291">
        <f t="shared" si="15"/>
        <v>1.688064E-4</v>
      </c>
      <c r="I291">
        <f>IF(E291&lt;($A$17),F291,H291)</f>
        <v>1.688064E-4</v>
      </c>
    </row>
    <row r="292" spans="2:9" x14ac:dyDescent="0.25">
      <c r="B292">
        <v>1.73146</v>
      </c>
      <c r="C292" s="1">
        <v>1.3509319999999999E-4</v>
      </c>
      <c r="E292">
        <f t="shared" si="16"/>
        <v>3.0215078495917636E-2</v>
      </c>
      <c r="F292" s="1">
        <f t="shared" si="17"/>
        <v>1.020462910566175E-3</v>
      </c>
      <c r="G292" s="1">
        <f t="shared" si="18"/>
        <v>4.5532250601514648E-4</v>
      </c>
      <c r="H292">
        <f t="shared" si="15"/>
        <v>1.3509319999999999E-4</v>
      </c>
      <c r="I292">
        <f>IF(E292&lt;($A$17),F292,H292)</f>
        <v>1.3509319999999999E-4</v>
      </c>
    </row>
    <row r="293" spans="2:9" x14ac:dyDescent="0.25">
      <c r="B293">
        <v>1.7374700000000001</v>
      </c>
      <c r="C293" s="1">
        <v>1.3469919999999999E-4</v>
      </c>
      <c r="E293">
        <f t="shared" si="16"/>
        <v>3.0319924724940498E-2</v>
      </c>
      <c r="F293" s="1">
        <f t="shared" si="17"/>
        <v>1.0210174011274261E-3</v>
      </c>
      <c r="G293" s="1">
        <f t="shared" si="18"/>
        <v>4.5533621242842195E-4</v>
      </c>
      <c r="H293">
        <f t="shared" si="15"/>
        <v>1.3469919999999999E-4</v>
      </c>
      <c r="I293">
        <f>IF(E293&lt;($A$17),F293,H293)</f>
        <v>1.3469919999999999E-4</v>
      </c>
    </row>
    <row r="294" spans="2:9" x14ac:dyDescent="0.25">
      <c r="B294">
        <v>1.74349</v>
      </c>
      <c r="C294" s="1">
        <v>1.6114379999999999E-4</v>
      </c>
      <c r="E294">
        <f t="shared" si="16"/>
        <v>3.0424945072485308E-2</v>
      </c>
      <c r="F294" s="1">
        <f t="shared" si="17"/>
        <v>1.2256978159428894E-3</v>
      </c>
      <c r="G294" s="1">
        <f t="shared" si="18"/>
        <v>5.4633707005829796E-4</v>
      </c>
      <c r="H294">
        <f t="shared" si="15"/>
        <v>1.6114379999999999E-4</v>
      </c>
      <c r="I294">
        <f>IF(E294&lt;($A$17),F294,H294)</f>
        <v>1.6114379999999999E-4</v>
      </c>
    </row>
    <row r="295" spans="2:9" x14ac:dyDescent="0.25">
      <c r="B295">
        <v>1.7495000000000001</v>
      </c>
      <c r="C295" s="1">
        <v>1.085624E-4</v>
      </c>
      <c r="E295">
        <f t="shared" si="16"/>
        <v>3.0529790632587761E-2</v>
      </c>
      <c r="F295" s="1">
        <f t="shared" si="17"/>
        <v>8.2859683564281126E-4</v>
      </c>
      <c r="G295" s="1">
        <f t="shared" si="18"/>
        <v>3.6914799754426828E-4</v>
      </c>
      <c r="H295">
        <f t="shared" si="15"/>
        <v>1.085624E-4</v>
      </c>
      <c r="I295">
        <f>IF(E295&lt;($A$17),F295,H295)</f>
        <v>1.085624E-4</v>
      </c>
    </row>
    <row r="296" spans="2:9" x14ac:dyDescent="0.25">
      <c r="B296">
        <v>1.7555099999999999</v>
      </c>
      <c r="C296" s="1">
        <v>1.660523E-4</v>
      </c>
      <c r="E296">
        <f t="shared" si="16"/>
        <v>3.0634635856776671E-2</v>
      </c>
      <c r="F296" s="1">
        <f t="shared" si="17"/>
        <v>1.2717379359200591E-3</v>
      </c>
      <c r="G296" s="1">
        <f t="shared" si="18"/>
        <v>5.6628656564962246E-4</v>
      </c>
      <c r="H296">
        <f t="shared" si="15"/>
        <v>1.660523E-4</v>
      </c>
      <c r="I296">
        <f>IF(E296&lt;($A$17),F296,H296)</f>
        <v>1.660523E-4</v>
      </c>
    </row>
    <row r="297" spans="2:9" x14ac:dyDescent="0.25">
      <c r="B297">
        <v>1.76152</v>
      </c>
      <c r="C297" s="1">
        <v>1.116116E-4</v>
      </c>
      <c r="E297">
        <f t="shared" si="16"/>
        <v>3.073948074389846E-2</v>
      </c>
      <c r="F297" s="1">
        <f t="shared" si="17"/>
        <v>8.5772065724892431E-4</v>
      </c>
      <c r="G297" s="1">
        <f t="shared" si="18"/>
        <v>3.8173964975459125E-4</v>
      </c>
      <c r="H297">
        <f t="shared" si="15"/>
        <v>1.116116E-4</v>
      </c>
      <c r="I297">
        <f>IF(E297&lt;($A$17),F297,H297)</f>
        <v>1.116116E-4</v>
      </c>
    </row>
    <row r="298" spans="2:9" x14ac:dyDescent="0.25">
      <c r="B298">
        <v>1.76753</v>
      </c>
      <c r="C298" s="1">
        <v>1.4192520000000001E-4</v>
      </c>
      <c r="E298">
        <f t="shared" si="16"/>
        <v>3.0844325292799527E-2</v>
      </c>
      <c r="F298" s="1">
        <f t="shared" si="17"/>
        <v>1.0943967590114078E-3</v>
      </c>
      <c r="G298" s="1">
        <f t="shared" si="18"/>
        <v>4.8683336842433503E-4</v>
      </c>
      <c r="H298">
        <f t="shared" si="15"/>
        <v>1.4192520000000001E-4</v>
      </c>
      <c r="I298">
        <f>IF(E298&lt;($A$17),F298,H298)</f>
        <v>1.4192520000000001E-4</v>
      </c>
    </row>
    <row r="299" spans="2:9" x14ac:dyDescent="0.25">
      <c r="B299">
        <v>1.77355</v>
      </c>
      <c r="C299" s="1">
        <v>1.3647290000000001E-4</v>
      </c>
      <c r="E299">
        <f t="shared" si="16"/>
        <v>3.094934395164272E-2</v>
      </c>
      <c r="F299" s="1">
        <f t="shared" si="17"/>
        <v>1.0559366805445356E-3</v>
      </c>
      <c r="G299" s="1">
        <f t="shared" si="18"/>
        <v>4.6949238860692351E-4</v>
      </c>
      <c r="H299">
        <f t="shared" si="15"/>
        <v>1.3647290000000001E-4</v>
      </c>
      <c r="I299">
        <f>IF(E299&lt;($A$17),F299,H299)</f>
        <v>1.3647290000000001E-4</v>
      </c>
    </row>
    <row r="300" spans="2:9" x14ac:dyDescent="0.25">
      <c r="B300">
        <v>1.77956</v>
      </c>
      <c r="C300" s="1">
        <v>1.0930240000000001E-4</v>
      </c>
      <c r="E300">
        <f t="shared" si="16"/>
        <v>3.1054187820074044E-2</v>
      </c>
      <c r="F300" s="1">
        <f t="shared" si="17"/>
        <v>8.4857431469621532E-4</v>
      </c>
      <c r="G300" s="1">
        <f t="shared" si="18"/>
        <v>3.7710943958456182E-4</v>
      </c>
      <c r="H300">
        <f t="shared" si="15"/>
        <v>1.0930240000000001E-4</v>
      </c>
      <c r="I300">
        <f>IF(E300&lt;($A$17),F300,H300)</f>
        <v>1.0930240000000001E-4</v>
      </c>
    </row>
    <row r="301" spans="2:9" x14ac:dyDescent="0.25">
      <c r="B301">
        <v>1.7855700000000001</v>
      </c>
      <c r="C301" s="1">
        <v>1.5491999999999999E-4</v>
      </c>
      <c r="E301">
        <f t="shared" si="16"/>
        <v>3.1159031346821988E-2</v>
      </c>
      <c r="F301" s="1">
        <f t="shared" si="17"/>
        <v>1.2067892840624153E-3</v>
      </c>
      <c r="G301" s="1">
        <f t="shared" si="18"/>
        <v>5.3603992794371794E-4</v>
      </c>
      <c r="H301">
        <f t="shared" si="15"/>
        <v>1.5491999999999999E-4</v>
      </c>
      <c r="I301">
        <f>IF(E301&lt;($A$17),F301,H301)</f>
        <v>1.5491999999999999E-4</v>
      </c>
    </row>
    <row r="302" spans="2:9" x14ac:dyDescent="0.25">
      <c r="B302">
        <v>1.79158</v>
      </c>
      <c r="C302" s="1">
        <v>9.6614350000000004E-5</v>
      </c>
      <c r="E302">
        <f t="shared" si="16"/>
        <v>3.1263874530732969E-2</v>
      </c>
      <c r="F302" s="1">
        <f t="shared" si="17"/>
        <v>7.5513472906708022E-4</v>
      </c>
      <c r="G302" s="1">
        <f t="shared" si="18"/>
        <v>3.3525837204549051E-4</v>
      </c>
      <c r="H302">
        <f t="shared" si="15"/>
        <v>9.6614350000000004E-5</v>
      </c>
      <c r="I302">
        <f>IF(E302&lt;($A$17),F302,H302)</f>
        <v>9.6614350000000004E-5</v>
      </c>
    </row>
    <row r="303" spans="2:9" x14ac:dyDescent="0.25">
      <c r="B303">
        <v>1.7976000000000001</v>
      </c>
      <c r="C303" s="1">
        <v>1.45754E-4</v>
      </c>
      <c r="E303">
        <f t="shared" si="16"/>
        <v>3.1368891817687143E-2</v>
      </c>
      <c r="F303" s="1">
        <f t="shared" si="17"/>
        <v>1.1430353644987928E-3</v>
      </c>
      <c r="G303" s="1">
        <f t="shared" si="18"/>
        <v>5.0723043850954129E-4</v>
      </c>
      <c r="H303">
        <f t="shared" si="15"/>
        <v>1.45754E-4</v>
      </c>
      <c r="I303">
        <f>IF(E303&lt;($A$17),F303,H303)</f>
        <v>1.45754E-4</v>
      </c>
    </row>
    <row r="304" spans="2:9" x14ac:dyDescent="0.25">
      <c r="B304">
        <v>1.8036099999999999</v>
      </c>
      <c r="C304" s="1">
        <v>1.12317E-4</v>
      </c>
      <c r="E304">
        <f t="shared" si="16"/>
        <v>3.1473734311888268E-2</v>
      </c>
      <c r="F304" s="1">
        <f t="shared" si="17"/>
        <v>8.8375885417708866E-4</v>
      </c>
      <c r="G304" s="1">
        <f t="shared" si="18"/>
        <v>3.9198686458729372E-4</v>
      </c>
      <c r="H304">
        <f t="shared" si="15"/>
        <v>1.12317E-4</v>
      </c>
      <c r="I304">
        <f>IF(E304&lt;($A$17),F304,H304)</f>
        <v>1.12317E-4</v>
      </c>
    </row>
    <row r="305" spans="2:9" x14ac:dyDescent="0.25">
      <c r="B305">
        <v>1.80962</v>
      </c>
      <c r="C305" s="1">
        <v>1.1533229999999999E-4</v>
      </c>
      <c r="E305">
        <f t="shared" si="16"/>
        <v>3.1578576459789835E-2</v>
      </c>
      <c r="F305" s="1">
        <f t="shared" si="17"/>
        <v>9.1050746345835466E-4</v>
      </c>
      <c r="G305" s="1">
        <f t="shared" si="18"/>
        <v>4.0365898611417479E-4</v>
      </c>
      <c r="H305">
        <f t="shared" si="15"/>
        <v>1.1533229999999999E-4</v>
      </c>
      <c r="I305">
        <f>IF(E305&lt;($A$17),F305,H305)</f>
        <v>1.1533229999999999E-4</v>
      </c>
    </row>
    <row r="306" spans="2:9" x14ac:dyDescent="0.25">
      <c r="B306">
        <v>1.8156300000000001</v>
      </c>
      <c r="C306" s="1">
        <v>1.370461E-4</v>
      </c>
      <c r="E306">
        <f t="shared" si="16"/>
        <v>3.1683418260238259E-2</v>
      </c>
      <c r="F306" s="1">
        <f t="shared" si="17"/>
        <v>1.0855222268086094E-3</v>
      </c>
      <c r="G306" s="1">
        <f t="shared" si="18"/>
        <v>4.8102149618727165E-4</v>
      </c>
      <c r="H306">
        <f t="shared" si="15"/>
        <v>1.370461E-4</v>
      </c>
      <c r="I306">
        <f>IF(E306&lt;($A$17),F306,H306)</f>
        <v>1.370461E-4</v>
      </c>
    </row>
    <row r="307" spans="2:9" x14ac:dyDescent="0.25">
      <c r="B307">
        <v>1.8216399999999999</v>
      </c>
      <c r="C307" s="1">
        <v>9.0761500000000002E-5</v>
      </c>
      <c r="E307">
        <f t="shared" si="16"/>
        <v>3.1788259712080012E-2</v>
      </c>
      <c r="F307" s="1">
        <f t="shared" si="17"/>
        <v>7.2128753346448746E-4</v>
      </c>
      <c r="G307" s="1">
        <f t="shared" si="18"/>
        <v>3.1947001271650523E-4</v>
      </c>
      <c r="H307">
        <f t="shared" si="15"/>
        <v>9.0761500000000002E-5</v>
      </c>
      <c r="I307">
        <f>IF(E307&lt;($A$17),F307,H307)</f>
        <v>9.0761500000000002E-5</v>
      </c>
    </row>
    <row r="308" spans="2:9" x14ac:dyDescent="0.25">
      <c r="B308">
        <v>1.8276600000000001</v>
      </c>
      <c r="C308" s="1">
        <v>1.431754E-4</v>
      </c>
      <c r="E308">
        <f t="shared" si="16"/>
        <v>3.1893275258298839E-2</v>
      </c>
      <c r="F308" s="1">
        <f t="shared" si="17"/>
        <v>1.1415831106042597E-3</v>
      </c>
      <c r="G308" s="1">
        <f t="shared" si="18"/>
        <v>5.053892820296187E-4</v>
      </c>
      <c r="H308">
        <f t="shared" si="15"/>
        <v>1.431754E-4</v>
      </c>
      <c r="I308">
        <f>IF(E308&lt;($A$17),F308,H308)</f>
        <v>1.431754E-4</v>
      </c>
    </row>
    <row r="309" spans="2:9" x14ac:dyDescent="0.25">
      <c r="B309">
        <v>1.8336699999999999</v>
      </c>
      <c r="C309" s="1">
        <v>9.2868049999999996E-5</v>
      </c>
      <c r="E309">
        <f t="shared" si="16"/>
        <v>3.1998116008881722E-2</v>
      </c>
      <c r="F309" s="1">
        <f t="shared" si="17"/>
        <v>7.4290065935465703E-4</v>
      </c>
      <c r="G309" s="1">
        <f t="shared" si="18"/>
        <v>3.2873627555476964E-4</v>
      </c>
      <c r="H309">
        <f t="shared" si="15"/>
        <v>9.2868049999999996E-5</v>
      </c>
      <c r="I309">
        <f>IF(E309&lt;($A$17),F309,H309)</f>
        <v>9.2868049999999996E-5</v>
      </c>
    </row>
    <row r="310" spans="2:9" x14ac:dyDescent="0.25">
      <c r="B310">
        <v>1.83968</v>
      </c>
      <c r="C310" s="1">
        <v>1.221122E-4</v>
      </c>
      <c r="E310">
        <f t="shared" si="16"/>
        <v>3.2102956407395376E-2</v>
      </c>
      <c r="F310" s="1">
        <f t="shared" si="17"/>
        <v>9.800406583527863E-4</v>
      </c>
      <c r="G310" s="1">
        <f t="shared" si="18"/>
        <v>4.3347155017405881E-4</v>
      </c>
      <c r="H310">
        <f t="shared" si="15"/>
        <v>1.221122E-4</v>
      </c>
      <c r="I310">
        <f>IF(E310&lt;($A$17),F310,H310)</f>
        <v>1.221122E-4</v>
      </c>
    </row>
    <row r="311" spans="2:9" x14ac:dyDescent="0.25">
      <c r="B311">
        <v>1.8456900000000001</v>
      </c>
      <c r="C311" s="1">
        <v>1.158443E-4</v>
      </c>
      <c r="E311">
        <f t="shared" si="16"/>
        <v>3.2207796452686233E-2</v>
      </c>
      <c r="F311" s="1">
        <f t="shared" si="17"/>
        <v>9.3277240865097992E-4</v>
      </c>
      <c r="G311" s="1">
        <f t="shared" si="18"/>
        <v>4.1237566528737243E-4</v>
      </c>
      <c r="H311">
        <f t="shared" si="15"/>
        <v>1.158443E-4</v>
      </c>
      <c r="I311">
        <f>IF(E311&lt;($A$17),F311,H311)</f>
        <v>1.158443E-4</v>
      </c>
    </row>
    <row r="312" spans="2:9" x14ac:dyDescent="0.25">
      <c r="B312">
        <v>1.8516999999999999</v>
      </c>
      <c r="C312" s="1">
        <v>9.2349089999999999E-5</v>
      </c>
      <c r="E312">
        <f t="shared" si="16"/>
        <v>3.2312636143600776E-2</v>
      </c>
      <c r="F312" s="1">
        <f t="shared" si="17"/>
        <v>7.4601063584066015E-4</v>
      </c>
      <c r="G312" s="1">
        <f t="shared" si="18"/>
        <v>3.2965858661945091E-4</v>
      </c>
      <c r="H312">
        <f t="shared" si="15"/>
        <v>9.2349089999999999E-5</v>
      </c>
      <c r="I312">
        <f>IF(E312&lt;($A$17),F312,H312)</f>
        <v>9.2349089999999999E-5</v>
      </c>
    </row>
    <row r="313" spans="2:9" x14ac:dyDescent="0.25">
      <c r="B313">
        <v>1.85772</v>
      </c>
      <c r="C313" s="1">
        <v>1.335459E-4</v>
      </c>
      <c r="E313">
        <f t="shared" si="16"/>
        <v>3.2417649920178378E-2</v>
      </c>
      <c r="F313" s="1">
        <f t="shared" si="17"/>
        <v>1.0823110586187874E-3</v>
      </c>
      <c r="G313" s="1">
        <f t="shared" si="18"/>
        <v>4.7805115227513923E-4</v>
      </c>
      <c r="H313">
        <f t="shared" si="15"/>
        <v>1.335459E-4</v>
      </c>
      <c r="I313">
        <f>IF(E313&lt;($A$17),F313,H313)</f>
        <v>1.335459E-4</v>
      </c>
    </row>
    <row r="314" spans="2:9" x14ac:dyDescent="0.25">
      <c r="B314">
        <v>1.8637300000000001</v>
      </c>
      <c r="C314" s="1">
        <v>8.0618079999999998E-5</v>
      </c>
      <c r="E314">
        <f t="shared" si="16"/>
        <v>3.2522488898285247E-2</v>
      </c>
      <c r="F314" s="1">
        <f t="shared" si="17"/>
        <v>6.5547515295026788E-4</v>
      </c>
      <c r="G314" s="1">
        <f t="shared" si="18"/>
        <v>2.8938959812110183E-4</v>
      </c>
      <c r="H314">
        <f t="shared" si="15"/>
        <v>8.0618079999999998E-5</v>
      </c>
      <c r="I314">
        <f>IF(E314&lt;($A$17),F314,H314)</f>
        <v>8.0618079999999998E-5</v>
      </c>
    </row>
    <row r="315" spans="2:9" x14ac:dyDescent="0.25">
      <c r="B315">
        <v>1.86974</v>
      </c>
      <c r="C315" s="1">
        <v>1.2577589999999999E-4</v>
      </c>
      <c r="E315">
        <f t="shared" si="16"/>
        <v>3.2627327518553302E-2</v>
      </c>
      <c r="F315" s="1">
        <f t="shared" si="17"/>
        <v>1.025932870810202E-3</v>
      </c>
      <c r="G315" s="1">
        <f t="shared" si="18"/>
        <v>4.5274244090787679E-4</v>
      </c>
      <c r="H315">
        <f t="shared" si="15"/>
        <v>1.2577589999999999E-4</v>
      </c>
      <c r="I315">
        <f>IF(E315&lt;($A$17),F315,H315)</f>
        <v>1.2577589999999999E-4</v>
      </c>
    </row>
    <row r="316" spans="2:9" x14ac:dyDescent="0.25">
      <c r="B316">
        <v>1.87575</v>
      </c>
      <c r="C316" s="1">
        <v>9.524868E-5</v>
      </c>
      <c r="E316">
        <f t="shared" si="16"/>
        <v>3.2732165779829021E-2</v>
      </c>
      <c r="F316" s="1">
        <f t="shared" si="17"/>
        <v>7.7942389601747127E-4</v>
      </c>
      <c r="G316" s="1">
        <f t="shared" si="18"/>
        <v>3.4380542048663908E-4</v>
      </c>
      <c r="H316">
        <f t="shared" si="15"/>
        <v>9.524868E-5</v>
      </c>
      <c r="I316">
        <f>IF(E316&lt;($A$17),F316,H316)</f>
        <v>9.524868E-5</v>
      </c>
    </row>
    <row r="317" spans="2:9" x14ac:dyDescent="0.25">
      <c r="B317">
        <v>1.8817600000000001</v>
      </c>
      <c r="C317" s="1">
        <v>9.8159110000000001E-5</v>
      </c>
      <c r="E317">
        <f t="shared" si="16"/>
        <v>3.2837003680958876E-2</v>
      </c>
      <c r="F317" s="1">
        <f t="shared" si="17"/>
        <v>8.058127640974118E-4</v>
      </c>
      <c r="G317" s="1">
        <f t="shared" si="18"/>
        <v>3.552884053570165E-4</v>
      </c>
      <c r="H317">
        <f t="shared" si="15"/>
        <v>9.8159110000000001E-5</v>
      </c>
      <c r="I317">
        <f>IF(E317&lt;($A$17),F317,H317)</f>
        <v>9.8159110000000001E-5</v>
      </c>
    </row>
    <row r="318" spans="2:9" x14ac:dyDescent="0.25">
      <c r="B318">
        <v>1.88778</v>
      </c>
      <c r="C318" s="1">
        <v>1.183011E-4</v>
      </c>
      <c r="E318">
        <f t="shared" si="16"/>
        <v>3.2942015658989854E-2</v>
      </c>
      <c r="F318" s="1">
        <f t="shared" si="17"/>
        <v>9.7426917216893107E-4</v>
      </c>
      <c r="G318" s="1">
        <f t="shared" si="18"/>
        <v>4.2937283542419382E-4</v>
      </c>
      <c r="H318">
        <f t="shared" si="15"/>
        <v>1.183011E-4</v>
      </c>
      <c r="I318">
        <f>IF(E318&lt;($A$17),F318,H318)</f>
        <v>1.183011E-4</v>
      </c>
    </row>
    <row r="319" spans="2:9" x14ac:dyDescent="0.25">
      <c r="B319">
        <v>1.8937900000000001</v>
      </c>
      <c r="C319" s="1">
        <v>7.5993479999999995E-5</v>
      </c>
      <c r="E319">
        <f t="shared" si="16"/>
        <v>3.3046852835763432E-2</v>
      </c>
      <c r="F319" s="1">
        <f t="shared" si="17"/>
        <v>6.2783633750938285E-4</v>
      </c>
      <c r="G319" s="1">
        <f t="shared" si="18"/>
        <v>2.7657454825356551E-4</v>
      </c>
      <c r="H319">
        <f t="shared" si="15"/>
        <v>7.5993479999999995E-5</v>
      </c>
      <c r="I319">
        <f>IF(E319&lt;($A$17),F319,H319)</f>
        <v>7.5993479999999995E-5</v>
      </c>
    </row>
    <row r="320" spans="2:9" x14ac:dyDescent="0.25">
      <c r="B320">
        <v>1.8997999999999999</v>
      </c>
      <c r="C320" s="1">
        <v>1.239871E-4</v>
      </c>
      <c r="E320">
        <f t="shared" si="16"/>
        <v>3.3151689648928701E-2</v>
      </c>
      <c r="F320" s="1">
        <f t="shared" si="17"/>
        <v>1.0275954649176719E-3</v>
      </c>
      <c r="G320" s="1">
        <f t="shared" si="18"/>
        <v>4.524798266687153E-4</v>
      </c>
      <c r="H320">
        <f t="shared" si="15"/>
        <v>1.239871E-4</v>
      </c>
      <c r="I320">
        <f>IF(E320&lt;($A$17),F320,H320)</f>
        <v>1.239871E-4</v>
      </c>
    </row>
    <row r="321" spans="2:9" x14ac:dyDescent="0.25">
      <c r="B321">
        <v>1.90581</v>
      </c>
      <c r="C321" s="1">
        <v>7.8610249999999998E-5</v>
      </c>
      <c r="E321">
        <f t="shared" si="16"/>
        <v>3.3256526097332179E-2</v>
      </c>
      <c r="F321" s="1">
        <f t="shared" si="17"/>
        <v>6.5357595766070181E-4</v>
      </c>
      <c r="G321" s="1">
        <f t="shared" si="18"/>
        <v>2.8766398891106666E-4</v>
      </c>
      <c r="H321">
        <f t="shared" si="15"/>
        <v>7.8610249999999998E-5</v>
      </c>
      <c r="I321">
        <f>IF(E321&lt;($A$17),F321,H321)</f>
        <v>7.8610249999999998E-5</v>
      </c>
    </row>
    <row r="322" spans="2:9" x14ac:dyDescent="0.25">
      <c r="B322">
        <v>1.9118200000000001</v>
      </c>
      <c r="C322" s="1">
        <v>1.045501E-4</v>
      </c>
      <c r="E322">
        <f t="shared" si="16"/>
        <v>3.3361362179820366E-2</v>
      </c>
      <c r="F322" s="1">
        <f t="shared" si="17"/>
        <v>8.7198343800910935E-4</v>
      </c>
      <c r="G322" s="1">
        <f t="shared" si="18"/>
        <v>3.8362875644346153E-4</v>
      </c>
      <c r="H322">
        <f t="shared" si="15"/>
        <v>1.045501E-4</v>
      </c>
      <c r="I322">
        <f>IF(E322&lt;($A$17),F322,H322)</f>
        <v>1.045501E-4</v>
      </c>
    </row>
    <row r="323" spans="2:9" x14ac:dyDescent="0.25">
      <c r="B323">
        <v>1.91784</v>
      </c>
      <c r="C323" s="1">
        <v>1.002093E-4</v>
      </c>
      <c r="E323">
        <f t="shared" si="16"/>
        <v>3.346637233039982E-2</v>
      </c>
      <c r="F323" s="1">
        <f t="shared" si="17"/>
        <v>8.3841043619218355E-4</v>
      </c>
      <c r="G323" s="1">
        <f t="shared" si="18"/>
        <v>3.687006157530298E-4</v>
      </c>
      <c r="H323">
        <f t="shared" si="15"/>
        <v>1.002093E-4</v>
      </c>
      <c r="I323">
        <f>IF(E323&lt;($A$17),F323,H323)</f>
        <v>1.002093E-4</v>
      </c>
    </row>
    <row r="324" spans="2:9" x14ac:dyDescent="0.25">
      <c r="B324">
        <v>1.9238500000000001</v>
      </c>
      <c r="C324" s="1">
        <v>7.7607340000000001E-5</v>
      </c>
      <c r="E324">
        <f t="shared" si="16"/>
        <v>3.3571207676983308E-2</v>
      </c>
      <c r="F324" s="1">
        <f t="shared" si="17"/>
        <v>6.5134303209956343E-4</v>
      </c>
      <c r="G324" s="1">
        <f t="shared" si="18"/>
        <v>2.8631402219783409E-4</v>
      </c>
      <c r="H324">
        <f t="shared" si="15"/>
        <v>7.7607340000000001E-5</v>
      </c>
      <c r="I324">
        <f>IF(E324&lt;($A$17),F324,H324)</f>
        <v>7.7607340000000001E-5</v>
      </c>
    </row>
    <row r="325" spans="2:9" x14ac:dyDescent="0.25">
      <c r="B325">
        <v>1.9298599999999999</v>
      </c>
      <c r="C325" s="1">
        <v>1.162348E-4</v>
      </c>
      <c r="E325">
        <f t="shared" si="16"/>
        <v>3.3676042654189116E-2</v>
      </c>
      <c r="F325" s="1">
        <f t="shared" si="17"/>
        <v>9.7858202067528524E-4</v>
      </c>
      <c r="G325" s="1">
        <f t="shared" si="18"/>
        <v>4.2997856785660838E-4</v>
      </c>
      <c r="H325">
        <f t="shared" ref="H325:H388" si="19">IF(E325&gt;($A$19),C325,G325)</f>
        <v>1.162348E-4</v>
      </c>
      <c r="I325">
        <f>IF(E325&lt;($A$17),F325,H325)</f>
        <v>1.162348E-4</v>
      </c>
    </row>
    <row r="326" spans="2:9" x14ac:dyDescent="0.25">
      <c r="B326">
        <v>1.93587</v>
      </c>
      <c r="C326" s="1">
        <v>6.7940699999999998E-5</v>
      </c>
      <c r="E326">
        <f t="shared" ref="E326:E389" si="20">SIN(B326/180*PI())</f>
        <v>3.3780877260863769E-2</v>
      </c>
      <c r="F326" s="1">
        <f t="shared" ref="F326:F389" si="21">C326*$A$5/$A$7*SIN(B326/180*PI())</f>
        <v>5.7377411192929167E-4</v>
      </c>
      <c r="G326" s="1">
        <f t="shared" ref="G326:G389" si="22">C326*(1/2+($A$5/(2*$A$7)-$A$9/$A$7)*SIN(B326/180*PI()))</f>
        <v>2.5200451253313085E-4</v>
      </c>
      <c r="H326">
        <f t="shared" si="19"/>
        <v>6.7940699999999998E-5</v>
      </c>
      <c r="I326">
        <f>IF(E326&lt;($A$17),F326,H326)</f>
        <v>6.7940699999999998E-5</v>
      </c>
    </row>
    <row r="327" spans="2:9" x14ac:dyDescent="0.25">
      <c r="B327">
        <v>1.9418800000000001</v>
      </c>
      <c r="C327" s="1">
        <v>1.083906E-4</v>
      </c>
      <c r="E327">
        <f t="shared" si="20"/>
        <v>3.3885711495853801E-2</v>
      </c>
      <c r="F327" s="1">
        <f t="shared" si="21"/>
        <v>9.1822315011562264E-4</v>
      </c>
      <c r="G327" s="1">
        <f t="shared" si="22"/>
        <v>4.0312009704393661E-4</v>
      </c>
      <c r="H327">
        <f t="shared" si="19"/>
        <v>1.083906E-4</v>
      </c>
      <c r="I327">
        <f>IF(E327&lt;($A$17),F327,H327)</f>
        <v>1.083906E-4</v>
      </c>
    </row>
    <row r="328" spans="2:9" x14ac:dyDescent="0.25">
      <c r="B328">
        <v>1.9479</v>
      </c>
      <c r="C328" s="1">
        <v>8.245312E-5</v>
      </c>
      <c r="E328">
        <f t="shared" si="20"/>
        <v>3.3990719790077333E-2</v>
      </c>
      <c r="F328" s="1">
        <f t="shared" si="21"/>
        <v>7.0066022443440517E-4</v>
      </c>
      <c r="G328" s="1">
        <f t="shared" si="22"/>
        <v>3.0747744528507402E-4</v>
      </c>
      <c r="H328">
        <f t="shared" si="19"/>
        <v>8.245312E-5</v>
      </c>
      <c r="I328">
        <f>IF(E328&lt;($A$17),F328,H328)</f>
        <v>8.245312E-5</v>
      </c>
    </row>
    <row r="329" spans="2:9" x14ac:dyDescent="0.25">
      <c r="B329">
        <v>1.95391</v>
      </c>
      <c r="C329" s="1">
        <v>8.2899049999999997E-5</v>
      </c>
      <c r="E329">
        <f t="shared" si="20"/>
        <v>3.4095553277614432E-2</v>
      </c>
      <c r="F329" s="1">
        <f t="shared" si="21"/>
        <v>7.0662224398465568E-4</v>
      </c>
      <c r="G329" s="1">
        <f t="shared" si="22"/>
        <v>3.0996597771416911E-4</v>
      </c>
      <c r="H329">
        <f t="shared" si="19"/>
        <v>8.2899049999999997E-5</v>
      </c>
      <c r="I329">
        <f>IF(E329&lt;($A$17),F329,H329)</f>
        <v>8.2899049999999997E-5</v>
      </c>
    </row>
    <row r="330" spans="2:9" x14ac:dyDescent="0.25">
      <c r="B330">
        <v>1.9599200000000001</v>
      </c>
      <c r="C330" s="1">
        <v>1.036216E-4</v>
      </c>
      <c r="E330">
        <f t="shared" si="20"/>
        <v>3.4200386390004604E-2</v>
      </c>
      <c r="F330" s="1">
        <f t="shared" si="21"/>
        <v>8.8597468958762527E-4</v>
      </c>
      <c r="G330" s="1">
        <f t="shared" si="22"/>
        <v>3.8848118204329763E-4</v>
      </c>
      <c r="H330">
        <f t="shared" si="19"/>
        <v>1.036216E-4</v>
      </c>
      <c r="I330">
        <f>IF(E330&lt;($A$17),F330,H330)</f>
        <v>1.036216E-4</v>
      </c>
    </row>
    <row r="331" spans="2:9" x14ac:dyDescent="0.25">
      <c r="B331">
        <v>1.96593</v>
      </c>
      <c r="C331" s="1">
        <v>6.3673870000000005E-5</v>
      </c>
      <c r="E331">
        <f t="shared" si="20"/>
        <v>3.4305219126094348E-2</v>
      </c>
      <c r="F331" s="1">
        <f t="shared" si="21"/>
        <v>5.4608651573911124E-4</v>
      </c>
      <c r="G331" s="1">
        <f t="shared" si="22"/>
        <v>2.3934981098086233E-4</v>
      </c>
      <c r="H331">
        <f t="shared" si="19"/>
        <v>6.3673870000000005E-5</v>
      </c>
      <c r="I331">
        <f>IF(E331&lt;($A$17),F331,H331)</f>
        <v>6.3673870000000005E-5</v>
      </c>
    </row>
    <row r="332" spans="2:9" x14ac:dyDescent="0.25">
      <c r="B332">
        <v>1.97194</v>
      </c>
      <c r="C332" s="1">
        <v>1.077226E-4</v>
      </c>
      <c r="E332">
        <f t="shared" si="20"/>
        <v>3.4410051484730232E-2</v>
      </c>
      <c r="F332" s="1">
        <f t="shared" si="21"/>
        <v>9.2668505301725021E-4</v>
      </c>
      <c r="G332" s="1">
        <f t="shared" si="22"/>
        <v>4.0600162014655506E-4</v>
      </c>
      <c r="H332">
        <f t="shared" si="19"/>
        <v>1.077226E-4</v>
      </c>
      <c r="I332">
        <f>IF(E332&lt;($A$17),F332,H332)</f>
        <v>1.077226E-4</v>
      </c>
    </row>
    <row r="333" spans="2:9" x14ac:dyDescent="0.25">
      <c r="B333">
        <v>1.9779599999999999</v>
      </c>
      <c r="C333" s="1">
        <v>6.7779679999999996E-5</v>
      </c>
      <c r="E333">
        <f t="shared" si="20"/>
        <v>3.4515057893693947E-2</v>
      </c>
      <c r="F333" s="1">
        <f t="shared" si="21"/>
        <v>5.8485489480401235E-4</v>
      </c>
      <c r="G333" s="1">
        <f t="shared" si="22"/>
        <v>2.5613470002552473E-4</v>
      </c>
      <c r="H333">
        <f t="shared" si="19"/>
        <v>6.7779679999999996E-5</v>
      </c>
      <c r="I333">
        <f>IF(E333&lt;($A$17),F333,H333)</f>
        <v>6.7779679999999996E-5</v>
      </c>
    </row>
    <row r="334" spans="2:9" x14ac:dyDescent="0.25">
      <c r="B334">
        <v>1.98397</v>
      </c>
      <c r="C334" s="1">
        <v>8.8929380000000001E-5</v>
      </c>
      <c r="E334">
        <f t="shared" si="20"/>
        <v>3.4619889493328913E-2</v>
      </c>
      <c r="F334" s="1">
        <f t="shared" si="21"/>
        <v>7.6968132707756353E-4</v>
      </c>
      <c r="G334" s="1">
        <f t="shared" si="22"/>
        <v>3.3694359428947422E-4</v>
      </c>
      <c r="H334">
        <f t="shared" si="19"/>
        <v>8.8929380000000001E-5</v>
      </c>
      <c r="I334">
        <f>IF(E334&lt;($A$17),F334,H334)</f>
        <v>8.8929380000000001E-5</v>
      </c>
    </row>
    <row r="335" spans="2:9" x14ac:dyDescent="0.25">
      <c r="B335">
        <v>1.9899800000000001</v>
      </c>
      <c r="C335" s="1">
        <v>8.8323580000000001E-5</v>
      </c>
      <c r="E335">
        <f t="shared" si="20"/>
        <v>3.4724720712047755E-2</v>
      </c>
      <c r="F335" s="1">
        <f t="shared" si="21"/>
        <v>7.6675291194705172E-4</v>
      </c>
      <c r="G335" s="1">
        <f t="shared" si="22"/>
        <v>3.3552789653987968E-4</v>
      </c>
      <c r="H335">
        <f t="shared" si="19"/>
        <v>8.8323580000000001E-5</v>
      </c>
      <c r="I335">
        <f>IF(E335&lt;($A$17),F335,H335)</f>
        <v>8.8323580000000001E-5</v>
      </c>
    </row>
    <row r="336" spans="2:9" x14ac:dyDescent="0.25">
      <c r="B336">
        <v>1.9959899999999999</v>
      </c>
      <c r="C336" s="1">
        <v>6.4806040000000005E-5</v>
      </c>
      <c r="E336">
        <f t="shared" si="20"/>
        <v>3.4829551548697039E-2</v>
      </c>
      <c r="F336" s="1">
        <f t="shared" si="21"/>
        <v>5.6429132771173066E-4</v>
      </c>
      <c r="G336" s="1">
        <f t="shared" si="22"/>
        <v>2.4683372453045767E-4</v>
      </c>
      <c r="H336">
        <f t="shared" si="19"/>
        <v>6.4806040000000005E-5</v>
      </c>
      <c r="I336">
        <f>IF(E336&lt;($A$17),F336,H336)</f>
        <v>6.4806040000000005E-5</v>
      </c>
    </row>
    <row r="337" spans="2:9" x14ac:dyDescent="0.25">
      <c r="B337">
        <v>2.0019999999999998</v>
      </c>
      <c r="C337" s="1">
        <v>1.0199429999999999E-4</v>
      </c>
      <c r="E337">
        <f t="shared" si="20"/>
        <v>3.4934382002123315E-2</v>
      </c>
      <c r="F337" s="1">
        <f t="shared" si="21"/>
        <v>8.9077695955979135E-4</v>
      </c>
      <c r="G337" s="1">
        <f t="shared" si="22"/>
        <v>3.8949239463272072E-4</v>
      </c>
      <c r="H337">
        <f t="shared" si="19"/>
        <v>1.0199429999999999E-4</v>
      </c>
      <c r="I337">
        <f>IF(E337&lt;($A$17),F337,H337)</f>
        <v>1.0199429999999999E-4</v>
      </c>
    </row>
    <row r="338" spans="2:9" x14ac:dyDescent="0.25">
      <c r="B338">
        <v>2.0080200000000001</v>
      </c>
      <c r="C338" s="1">
        <v>5.794934E-5</v>
      </c>
      <c r="E338">
        <f t="shared" si="20"/>
        <v>3.5039386496923862E-2</v>
      </c>
      <c r="F338" s="1">
        <f t="shared" si="21"/>
        <v>5.0762733037541244E-4</v>
      </c>
      <c r="G338" s="1">
        <f t="shared" si="22"/>
        <v>2.2187305554265675E-4</v>
      </c>
      <c r="H338">
        <f t="shared" si="19"/>
        <v>5.794934E-5</v>
      </c>
      <c r="I338">
        <f>IF(E338&lt;($A$17),F338,H338)</f>
        <v>5.794934E-5</v>
      </c>
    </row>
    <row r="339" spans="2:9" x14ac:dyDescent="0.25">
      <c r="B339">
        <v>2.01403</v>
      </c>
      <c r="C339" s="1">
        <v>9.3100549999999998E-5</v>
      </c>
      <c r="E339">
        <f t="shared" si="20"/>
        <v>3.514421617980143E-2</v>
      </c>
      <c r="F339" s="1">
        <f t="shared" si="21"/>
        <v>8.1798646391460295E-4</v>
      </c>
      <c r="G339" s="1">
        <f t="shared" si="22"/>
        <v>3.5738513128754913E-4</v>
      </c>
      <c r="H339">
        <f t="shared" si="19"/>
        <v>9.3100549999999998E-5</v>
      </c>
      <c r="I339">
        <f>IF(E339&lt;($A$17),F339,H339)</f>
        <v>9.3100549999999998E-5</v>
      </c>
    </row>
    <row r="340" spans="2:9" x14ac:dyDescent="0.25">
      <c r="B340">
        <v>2.0200399999999998</v>
      </c>
      <c r="C340" s="1">
        <v>7.2904550000000003E-5</v>
      </c>
      <c r="E340">
        <f t="shared" si="20"/>
        <v>3.5249045475993786E-2</v>
      </c>
      <c r="F340" s="1">
        <f t="shared" si="21"/>
        <v>6.4245394958921571E-4</v>
      </c>
      <c r="G340" s="1">
        <f t="shared" si="22"/>
        <v>2.8058477584390199E-4</v>
      </c>
      <c r="H340">
        <f t="shared" si="19"/>
        <v>7.2904550000000003E-5</v>
      </c>
      <c r="I340">
        <f>IF(E340&lt;($A$17),F340,H340)</f>
        <v>7.2904550000000003E-5</v>
      </c>
    </row>
    <row r="341" spans="2:9" x14ac:dyDescent="0.25">
      <c r="B341">
        <v>2.0260500000000001</v>
      </c>
      <c r="C341" s="1">
        <v>6.936077E-5</v>
      </c>
      <c r="E341">
        <f t="shared" si="20"/>
        <v>3.5353874384347568E-2</v>
      </c>
      <c r="F341" s="1">
        <f t="shared" si="21"/>
        <v>6.1304298744540566E-4</v>
      </c>
      <c r="G341" s="1">
        <f t="shared" si="22"/>
        <v>2.6763672022925419E-4</v>
      </c>
      <c r="H341">
        <f t="shared" si="19"/>
        <v>6.936077E-5</v>
      </c>
      <c r="I341">
        <f>IF(E341&lt;($A$17),F341,H341)</f>
        <v>6.936077E-5</v>
      </c>
    </row>
    <row r="342" spans="2:9" x14ac:dyDescent="0.25">
      <c r="B342">
        <v>2.03206</v>
      </c>
      <c r="C342" s="1">
        <v>9.194033E-5</v>
      </c>
      <c r="E342">
        <f t="shared" si="20"/>
        <v>3.545870290370931E-2</v>
      </c>
      <c r="F342" s="1">
        <f t="shared" si="21"/>
        <v>8.1502121158474807E-4</v>
      </c>
      <c r="G342" s="1">
        <f t="shared" si="22"/>
        <v>3.5567822540220429E-4</v>
      </c>
      <c r="H342">
        <f t="shared" si="19"/>
        <v>9.194033E-5</v>
      </c>
      <c r="I342">
        <f>IF(E342&lt;($A$17),F342,H342)</f>
        <v>9.194033E-5</v>
      </c>
    </row>
    <row r="343" spans="2:9" x14ac:dyDescent="0.25">
      <c r="B343">
        <v>2.0380799999999999</v>
      </c>
      <c r="C343" s="1">
        <v>5.3497990000000001E-5</v>
      </c>
      <c r="E343">
        <f t="shared" si="20"/>
        <v>3.5563705455443816E-2</v>
      </c>
      <c r="F343" s="1">
        <f t="shared" si="21"/>
        <v>4.7564668970456964E-4</v>
      </c>
      <c r="G343" s="1">
        <f t="shared" si="22"/>
        <v>2.0749473708773648E-4</v>
      </c>
      <c r="H343">
        <f t="shared" si="19"/>
        <v>5.3497990000000001E-5</v>
      </c>
      <c r="I343">
        <f>IF(E343&lt;($A$17),F343,H343)</f>
        <v>5.3497990000000001E-5</v>
      </c>
    </row>
    <row r="344" spans="2:9" x14ac:dyDescent="0.25">
      <c r="B344">
        <v>2.0440900000000002</v>
      </c>
      <c r="C344" s="1">
        <v>9.3667029999999998E-5</v>
      </c>
      <c r="E344">
        <f t="shared" si="20"/>
        <v>3.5668533192709261E-2</v>
      </c>
      <c r="F344" s="1">
        <f t="shared" si="21"/>
        <v>8.3524139215437356E-4</v>
      </c>
      <c r="G344" s="1">
        <f t="shared" si="22"/>
        <v>3.6422524401866197E-4</v>
      </c>
      <c r="H344">
        <f t="shared" si="19"/>
        <v>9.3667029999999998E-5</v>
      </c>
      <c r="I344">
        <f>IF(E344&lt;($A$17),F344,H344)</f>
        <v>9.3667029999999998E-5</v>
      </c>
    </row>
    <row r="345" spans="2:9" x14ac:dyDescent="0.25">
      <c r="B345">
        <v>2.0501</v>
      </c>
      <c r="C345" s="1">
        <v>5.967587E-5</v>
      </c>
      <c r="E345">
        <f t="shared" si="20"/>
        <v>3.5773360537520546E-2</v>
      </c>
      <c r="F345" s="1">
        <f t="shared" si="21"/>
        <v>5.3370160322505154E-4</v>
      </c>
      <c r="G345" s="1">
        <f t="shared" si="22"/>
        <v>2.3264454422551958E-4</v>
      </c>
      <c r="H345">
        <f t="shared" si="19"/>
        <v>5.967587E-5</v>
      </c>
      <c r="I345">
        <f>IF(E345&lt;($A$17),F345,H345)</f>
        <v>5.967587E-5</v>
      </c>
    </row>
    <row r="346" spans="2:9" x14ac:dyDescent="0.25">
      <c r="B346">
        <v>2.0561099999999999</v>
      </c>
      <c r="C346" s="1">
        <v>7.4980899999999999E-5</v>
      </c>
      <c r="E346">
        <f t="shared" si="20"/>
        <v>3.5878187488724282E-2</v>
      </c>
      <c r="F346" s="1">
        <f t="shared" si="21"/>
        <v>6.7254469706832154E-4</v>
      </c>
      <c r="G346" s="1">
        <f t="shared" si="22"/>
        <v>2.930574348859622E-4</v>
      </c>
      <c r="H346">
        <f t="shared" si="19"/>
        <v>7.4980899999999999E-5</v>
      </c>
      <c r="I346">
        <f>IF(E346&lt;($A$17),F346,H346)</f>
        <v>7.4980899999999999E-5</v>
      </c>
    </row>
    <row r="347" spans="2:9" x14ac:dyDescent="0.25">
      <c r="B347">
        <v>2.0621200000000002</v>
      </c>
      <c r="C347" s="1">
        <v>7.9200840000000005E-5</v>
      </c>
      <c r="E347">
        <f t="shared" si="20"/>
        <v>3.5983014045167093E-2</v>
      </c>
      <c r="F347" s="1">
        <f t="shared" si="21"/>
        <v>7.1247123452725797E-4</v>
      </c>
      <c r="G347" s="1">
        <f t="shared" si="22"/>
        <v>3.1033948912035806E-4</v>
      </c>
      <c r="H347">
        <f t="shared" si="19"/>
        <v>7.9200840000000005E-5</v>
      </c>
      <c r="I347">
        <f>IF(E347&lt;($A$17),F347,H347)</f>
        <v>7.9200840000000005E-5</v>
      </c>
    </row>
    <row r="348" spans="2:9" x14ac:dyDescent="0.25">
      <c r="B348">
        <v>2.0681400000000001</v>
      </c>
      <c r="C348" s="1">
        <v>5.3811709999999999E-5</v>
      </c>
      <c r="E348">
        <f t="shared" si="20"/>
        <v>3.608801462493326E-2</v>
      </c>
      <c r="F348" s="1">
        <f t="shared" si="21"/>
        <v>4.8548944436816675E-4</v>
      </c>
      <c r="G348" s="1">
        <f t="shared" si="22"/>
        <v>2.113918438599034E-4</v>
      </c>
      <c r="H348">
        <f t="shared" si="19"/>
        <v>5.3811709999999999E-5</v>
      </c>
      <c r="I348">
        <f>IF(E348&lt;($A$17),F348,H348)</f>
        <v>5.3811709999999999E-5</v>
      </c>
    </row>
    <row r="349" spans="2:9" x14ac:dyDescent="0.25">
      <c r="B349">
        <v>2.0741499999999999</v>
      </c>
      <c r="C349" s="1">
        <v>8.9966440000000003E-5</v>
      </c>
      <c r="E349">
        <f t="shared" si="20"/>
        <v>3.6192840387732385E-2</v>
      </c>
      <c r="F349" s="1">
        <f t="shared" si="21"/>
        <v>8.1403525079312559E-4</v>
      </c>
      <c r="G349" s="1">
        <f t="shared" si="22"/>
        <v>3.5431661530138772E-4</v>
      </c>
      <c r="H349">
        <f t="shared" si="19"/>
        <v>8.9966440000000003E-5</v>
      </c>
      <c r="I349">
        <f>IF(E349&lt;($A$17),F349,H349)</f>
        <v>8.9966440000000003E-5</v>
      </c>
    </row>
    <row r="350" spans="2:9" x14ac:dyDescent="0.25">
      <c r="B350">
        <v>2.0801599999999998</v>
      </c>
      <c r="C350" s="1">
        <v>5.0247929999999999E-5</v>
      </c>
      <c r="E350">
        <f t="shared" si="20"/>
        <v>3.62976657523085E-2</v>
      </c>
      <c r="F350" s="1">
        <f t="shared" si="21"/>
        <v>4.5597064197134868E-4</v>
      </c>
      <c r="G350" s="1">
        <f t="shared" si="22"/>
        <v>1.9839280894911251E-4</v>
      </c>
      <c r="H350">
        <f t="shared" si="19"/>
        <v>5.0247929999999999E-5</v>
      </c>
      <c r="I350">
        <f>IF(E350&lt;($A$17),F350,H350)</f>
        <v>5.0247929999999999E-5</v>
      </c>
    </row>
    <row r="351" spans="2:9" x14ac:dyDescent="0.25">
      <c r="B351">
        <v>2.0861700000000001</v>
      </c>
      <c r="C351" s="1">
        <v>7.9466469999999993E-5</v>
      </c>
      <c r="E351">
        <f t="shared" si="20"/>
        <v>3.6402490717508243E-2</v>
      </c>
      <c r="F351" s="1">
        <f t="shared" si="21"/>
        <v>7.2319435913203664E-4</v>
      </c>
      <c r="G351" s="1">
        <f t="shared" si="22"/>
        <v>3.1454709147017397E-4</v>
      </c>
      <c r="H351">
        <f t="shared" si="19"/>
        <v>7.9466469999999993E-5</v>
      </c>
      <c r="I351">
        <f>IF(E351&lt;($A$17),F351,H351)</f>
        <v>7.9466469999999993E-5</v>
      </c>
    </row>
    <row r="352" spans="2:9" x14ac:dyDescent="0.25">
      <c r="B352">
        <v>2.0921799999999999</v>
      </c>
      <c r="C352" s="1">
        <v>6.5825549999999999E-5</v>
      </c>
      <c r="E352">
        <f t="shared" si="20"/>
        <v>3.6507315282178238E-2</v>
      </c>
      <c r="F352" s="1">
        <f t="shared" si="21"/>
        <v>6.0077852686819691E-4</v>
      </c>
      <c r="G352" s="1">
        <f t="shared" si="22"/>
        <v>2.6120861520991483E-4</v>
      </c>
      <c r="H352">
        <f t="shared" si="19"/>
        <v>6.5825549999999999E-5</v>
      </c>
      <c r="I352">
        <f>IF(E352&lt;($A$17),F352,H352)</f>
        <v>6.5825549999999999E-5</v>
      </c>
    </row>
    <row r="353" spans="2:9" x14ac:dyDescent="0.25">
      <c r="B353">
        <v>2.0981999999999998</v>
      </c>
      <c r="C353" s="1">
        <v>5.7436860000000003E-5</v>
      </c>
      <c r="E353">
        <f t="shared" si="20"/>
        <v>3.6612313861074303E-2</v>
      </c>
      <c r="F353" s="1">
        <f t="shared" si="21"/>
        <v>5.2572408637864608E-4</v>
      </c>
      <c r="G353" s="1">
        <f t="shared" si="22"/>
        <v>2.284935828238855E-4</v>
      </c>
      <c r="H353">
        <f t="shared" si="19"/>
        <v>5.7436860000000003E-5</v>
      </c>
      <c r="I353">
        <f>IF(E353&lt;($A$17),F353,H353)</f>
        <v>5.7436860000000003E-5</v>
      </c>
    </row>
    <row r="354" spans="2:9" x14ac:dyDescent="0.25">
      <c r="B354">
        <v>2.1042100000000001</v>
      </c>
      <c r="C354" s="1">
        <v>8.2367409999999994E-5</v>
      </c>
      <c r="E354">
        <f t="shared" si="20"/>
        <v>3.6717137620553467E-2</v>
      </c>
      <c r="F354" s="1">
        <f t="shared" si="21"/>
        <v>7.5607388210463782E-4</v>
      </c>
      <c r="G354" s="1">
        <f t="shared" si="22"/>
        <v>3.2849178019976242E-4</v>
      </c>
      <c r="H354">
        <f t="shared" si="19"/>
        <v>8.2367409999999994E-5</v>
      </c>
      <c r="I354">
        <f>IF(E354&lt;($A$17),F354,H354)</f>
        <v>8.2367409999999994E-5</v>
      </c>
    </row>
    <row r="355" spans="2:9" x14ac:dyDescent="0.25">
      <c r="B355">
        <v>2.11022</v>
      </c>
      <c r="C355" s="1">
        <v>4.5301589999999999E-5</v>
      </c>
      <c r="E355">
        <f t="shared" si="20"/>
        <v>3.6821960976040881E-2</v>
      </c>
      <c r="F355" s="1">
        <f t="shared" si="21"/>
        <v>4.170233447831509E-4</v>
      </c>
      <c r="G355" s="1">
        <f t="shared" si="22"/>
        <v>1.8111966601759737E-4</v>
      </c>
      <c r="H355">
        <f t="shared" si="19"/>
        <v>4.5301589999999999E-5</v>
      </c>
      <c r="I355">
        <f>IF(E355&lt;($A$17),F355,H355)</f>
        <v>4.5301589999999999E-5</v>
      </c>
    </row>
    <row r="356" spans="2:9" x14ac:dyDescent="0.25">
      <c r="B356">
        <v>2.1162299999999998</v>
      </c>
      <c r="C356" s="1">
        <v>8.1217869999999998E-5</v>
      </c>
      <c r="E356">
        <f t="shared" si="20"/>
        <v>3.6926783926383197E-2</v>
      </c>
      <c r="F356" s="1">
        <f t="shared" si="21"/>
        <v>7.4977868411277E-4</v>
      </c>
      <c r="G356" s="1">
        <f t="shared" si="22"/>
        <v>3.255248349628526E-4</v>
      </c>
      <c r="H356">
        <f t="shared" si="19"/>
        <v>8.1217869999999998E-5</v>
      </c>
      <c r="I356">
        <f>IF(E356&lt;($A$17),F356,H356)</f>
        <v>8.1217869999999998E-5</v>
      </c>
    </row>
    <row r="357" spans="2:9" x14ac:dyDescent="0.25">
      <c r="B357">
        <v>2.1222400000000001</v>
      </c>
      <c r="C357" s="1">
        <v>5.377704E-5</v>
      </c>
      <c r="E357">
        <f t="shared" si="20"/>
        <v>3.7031606470427067E-2</v>
      </c>
      <c r="F357" s="1">
        <f t="shared" si="21"/>
        <v>4.9786254560610377E-4</v>
      </c>
      <c r="G357" s="1">
        <f t="shared" si="22"/>
        <v>2.1607628733031945E-4</v>
      </c>
      <c r="H357">
        <f t="shared" si="19"/>
        <v>5.377704E-5</v>
      </c>
      <c r="I357">
        <f>IF(E357&lt;($A$17),F357,H357)</f>
        <v>5.377704E-5</v>
      </c>
    </row>
    <row r="358" spans="2:9" x14ac:dyDescent="0.25">
      <c r="B358">
        <v>2.12826</v>
      </c>
      <c r="C358" s="1">
        <v>6.2504510000000005E-5</v>
      </c>
      <c r="E358">
        <f t="shared" si="20"/>
        <v>3.7136603019551816E-2</v>
      </c>
      <c r="F358" s="1">
        <f t="shared" si="21"/>
        <v>5.8030129370040164E-4</v>
      </c>
      <c r="G358" s="1">
        <f t="shared" si="22"/>
        <v>2.5176674660615266E-4</v>
      </c>
      <c r="H358">
        <f t="shared" si="19"/>
        <v>6.2504510000000005E-5</v>
      </c>
      <c r="I358">
        <f>IF(E358&lt;($A$17),F358,H358)</f>
        <v>6.2504510000000005E-5</v>
      </c>
    </row>
    <row r="359" spans="2:9" x14ac:dyDescent="0.25">
      <c r="B359">
        <v>2.1342699999999999</v>
      </c>
      <c r="C359" s="1">
        <v>7.2037780000000002E-5</v>
      </c>
      <c r="E359">
        <f t="shared" si="20"/>
        <v>3.7241424746857925E-2</v>
      </c>
      <c r="F359" s="1">
        <f t="shared" si="21"/>
        <v>6.7069739070017668E-4</v>
      </c>
      <c r="G359" s="1">
        <f t="shared" si="22"/>
        <v>2.908838984660672E-4</v>
      </c>
      <c r="H359">
        <f t="shared" si="19"/>
        <v>7.2037780000000002E-5</v>
      </c>
      <c r="I359">
        <f>IF(E359&lt;($A$17),F359,H359)</f>
        <v>7.2037780000000002E-5</v>
      </c>
    </row>
    <row r="360" spans="2:9" x14ac:dyDescent="0.25">
      <c r="B360">
        <v>2.1402800000000002</v>
      </c>
      <c r="C360" s="1">
        <v>4.4579580000000001E-5</v>
      </c>
      <c r="E360">
        <f t="shared" si="20"/>
        <v>3.7346246064403649E-2</v>
      </c>
      <c r="F360" s="1">
        <f t="shared" si="21"/>
        <v>4.1621999103194185E-4</v>
      </c>
      <c r="G360" s="1">
        <f t="shared" si="22"/>
        <v>1.8045338659213793E-4</v>
      </c>
      <c r="H360">
        <f t="shared" si="19"/>
        <v>4.4579580000000001E-5</v>
      </c>
      <c r="I360">
        <f>IF(E360&lt;($A$17),F360,H360)</f>
        <v>4.4579580000000001E-5</v>
      </c>
    </row>
    <row r="361" spans="2:9" x14ac:dyDescent="0.25">
      <c r="B361">
        <v>2.14629</v>
      </c>
      <c r="C361" s="1">
        <v>7.9439100000000003E-5</v>
      </c>
      <c r="E361">
        <f t="shared" si="20"/>
        <v>3.7451066971035667E-2</v>
      </c>
      <c r="F361" s="1">
        <f t="shared" si="21"/>
        <v>7.4376976355469986E-4</v>
      </c>
      <c r="G361" s="1">
        <f t="shared" si="22"/>
        <v>3.2235206015078602E-4</v>
      </c>
      <c r="H361">
        <f t="shared" si="19"/>
        <v>7.9439100000000003E-5</v>
      </c>
      <c r="I361">
        <f>IF(E361&lt;($A$17),F361,H361)</f>
        <v>7.9439100000000003E-5</v>
      </c>
    </row>
    <row r="362" spans="2:9" x14ac:dyDescent="0.25">
      <c r="B362">
        <v>2.1522999999999999</v>
      </c>
      <c r="C362" s="1">
        <v>4.4560220000000002E-5</v>
      </c>
      <c r="E362">
        <f t="shared" si="20"/>
        <v>3.7555887465600644E-2</v>
      </c>
      <c r="F362" s="1">
        <f t="shared" si="21"/>
        <v>4.1837465194060182E-4</v>
      </c>
      <c r="G362" s="1">
        <f t="shared" si="22"/>
        <v>1.8126247773742868E-4</v>
      </c>
      <c r="H362">
        <f t="shared" si="19"/>
        <v>4.4560220000000002E-5</v>
      </c>
      <c r="I362">
        <f>IF(E362&lt;($A$17),F362,H362)</f>
        <v>4.4560220000000002E-5</v>
      </c>
    </row>
    <row r="363" spans="2:9" x14ac:dyDescent="0.25">
      <c r="B363">
        <v>2.1583199999999998</v>
      </c>
      <c r="C363" s="1">
        <v>6.7157710000000003E-5</v>
      </c>
      <c r="E363">
        <f t="shared" si="20"/>
        <v>3.7660881956053424E-2</v>
      </c>
      <c r="F363" s="1">
        <f t="shared" si="21"/>
        <v>6.323046471872171E-4</v>
      </c>
      <c r="G363" s="1">
        <f t="shared" si="22"/>
        <v>2.7385462093114252E-4</v>
      </c>
      <c r="H363">
        <f t="shared" si="19"/>
        <v>6.7157710000000003E-5</v>
      </c>
      <c r="I363">
        <f>IF(E363&lt;($A$17),F363,H363)</f>
        <v>6.7157710000000003E-5</v>
      </c>
    </row>
    <row r="364" spans="2:9" x14ac:dyDescent="0.25">
      <c r="B364">
        <v>2.1643300000000001</v>
      </c>
      <c r="C364" s="1">
        <v>6.0579129999999999E-5</v>
      </c>
      <c r="E364">
        <f t="shared" si="20"/>
        <v>3.776570162233394E-2</v>
      </c>
      <c r="F364" s="1">
        <f t="shared" si="21"/>
        <v>5.7195333703014461E-4</v>
      </c>
      <c r="G364" s="1">
        <f t="shared" si="22"/>
        <v>2.4763183307145497E-4</v>
      </c>
      <c r="H364">
        <f t="shared" si="19"/>
        <v>6.0579129999999999E-5</v>
      </c>
      <c r="I364">
        <f>IF(E364&lt;($A$17),F364,H364)</f>
        <v>6.0579129999999999E-5</v>
      </c>
    </row>
    <row r="365" spans="2:9" x14ac:dyDescent="0.25">
      <c r="B365">
        <v>2.1703399999999999</v>
      </c>
      <c r="C365" s="1">
        <v>4.7092000000000002E-5</v>
      </c>
      <c r="E365">
        <f t="shared" si="20"/>
        <v>3.7870520873085553E-2</v>
      </c>
      <c r="F365" s="1">
        <f t="shared" si="21"/>
        <v>4.4584964223883623E-4</v>
      </c>
      <c r="G365" s="1">
        <f t="shared" si="22"/>
        <v>1.9296886405075777E-4</v>
      </c>
      <c r="H365">
        <f t="shared" si="19"/>
        <v>4.7092000000000002E-5</v>
      </c>
      <c r="I365">
        <f>IF(E365&lt;($A$17),F365,H365)</f>
        <v>4.7092000000000002E-5</v>
      </c>
    </row>
    <row r="366" spans="2:9" x14ac:dyDescent="0.25">
      <c r="B366">
        <v>2.1763499999999998</v>
      </c>
      <c r="C366" s="1">
        <v>7.4176279999999995E-5</v>
      </c>
      <c r="E366">
        <f t="shared" si="20"/>
        <v>3.7975339707154949E-2</v>
      </c>
      <c r="F366" s="1">
        <f t="shared" si="21"/>
        <v>7.0421735780326091E-4</v>
      </c>
      <c r="G366" s="1">
        <f t="shared" si="22"/>
        <v>3.0469073596523909E-4</v>
      </c>
      <c r="H366">
        <f t="shared" si="19"/>
        <v>7.4176279999999995E-5</v>
      </c>
      <c r="I366">
        <f>IF(E366&lt;($A$17),F366,H366)</f>
        <v>7.4176279999999995E-5</v>
      </c>
    </row>
    <row r="367" spans="2:9" x14ac:dyDescent="0.25">
      <c r="B367">
        <v>2.1823600000000001</v>
      </c>
      <c r="C367" s="1">
        <v>3.8983109999999997E-5</v>
      </c>
      <c r="E367">
        <f t="shared" si="20"/>
        <v>3.8080158123388851E-2</v>
      </c>
      <c r="F367" s="1">
        <f t="shared" si="21"/>
        <v>3.7112074823536523E-4</v>
      </c>
      <c r="G367" s="1">
        <f t="shared" si="22"/>
        <v>1.6051743932943879E-4</v>
      </c>
      <c r="H367">
        <f t="shared" si="19"/>
        <v>3.8983109999999997E-5</v>
      </c>
      <c r="I367">
        <f>IF(E367&lt;($A$17),F367,H367)</f>
        <v>3.8983109999999997E-5</v>
      </c>
    </row>
    <row r="368" spans="2:9" x14ac:dyDescent="0.25">
      <c r="B368">
        <v>2.18838</v>
      </c>
      <c r="C368" s="1">
        <v>6.9910749999999998E-5</v>
      </c>
      <c r="E368">
        <f t="shared" si="20"/>
        <v>3.8185150526269578E-2</v>
      </c>
      <c r="F368" s="1">
        <f t="shared" si="21"/>
        <v>6.6738812803860011E-4</v>
      </c>
      <c r="G368" s="1">
        <f t="shared" si="22"/>
        <v>2.8856286365466809E-4</v>
      </c>
      <c r="H368">
        <f t="shared" si="19"/>
        <v>6.9910749999999998E-5</v>
      </c>
      <c r="I368">
        <f>IF(E368&lt;($A$17),F368,H368)</f>
        <v>6.9910749999999998E-5</v>
      </c>
    </row>
    <row r="369" spans="2:9" x14ac:dyDescent="0.25">
      <c r="B369">
        <v>2.1943899999999998</v>
      </c>
      <c r="C369" s="1">
        <v>4.9648870000000003E-5</v>
      </c>
      <c r="E369">
        <f t="shared" si="20"/>
        <v>3.8289968102672517E-2</v>
      </c>
      <c r="F369" s="1">
        <f t="shared" si="21"/>
        <v>4.752634121584336E-4</v>
      </c>
      <c r="G369" s="1">
        <f t="shared" si="22"/>
        <v>2.0542453162020478E-4</v>
      </c>
      <c r="H369">
        <f t="shared" si="19"/>
        <v>4.9648870000000003E-5</v>
      </c>
      <c r="I369">
        <f>IF(E369&lt;($A$17),F369,H369)</f>
        <v>4.9648870000000003E-5</v>
      </c>
    </row>
    <row r="370" spans="2:9" x14ac:dyDescent="0.25">
      <c r="B370">
        <v>2.2004000000000001</v>
      </c>
      <c r="C370" s="1">
        <v>5.1407260000000002E-5</v>
      </c>
      <c r="E370">
        <f t="shared" si="20"/>
        <v>3.8394785257778181E-2</v>
      </c>
      <c r="F370" s="1">
        <f t="shared" si="21"/>
        <v>4.9344267709769244E-4</v>
      </c>
      <c r="G370" s="1">
        <f t="shared" si="22"/>
        <v>2.1321184729712316E-4</v>
      </c>
      <c r="H370">
        <f t="shared" si="19"/>
        <v>5.1407260000000002E-5</v>
      </c>
      <c r="I370">
        <f>IF(E370&lt;($A$17),F370,H370)</f>
        <v>5.1407260000000002E-5</v>
      </c>
    </row>
    <row r="371" spans="2:9" x14ac:dyDescent="0.25">
      <c r="B371">
        <v>2.20641</v>
      </c>
      <c r="C371" s="1">
        <v>6.6169019999999998E-5</v>
      </c>
      <c r="E371">
        <f t="shared" si="20"/>
        <v>3.8499601990433223E-2</v>
      </c>
      <c r="F371" s="1">
        <f t="shared" si="21"/>
        <v>6.3687023352425385E-4</v>
      </c>
      <c r="G371" s="1">
        <f t="shared" si="22"/>
        <v>2.7509519873921648E-4</v>
      </c>
      <c r="H371">
        <f t="shared" si="19"/>
        <v>6.6169019999999998E-5</v>
      </c>
      <c r="I371">
        <f>IF(E371&lt;($A$17),F371,H371)</f>
        <v>6.6169019999999998E-5</v>
      </c>
    </row>
    <row r="372" spans="2:9" x14ac:dyDescent="0.25">
      <c r="B372">
        <v>2.2124199999999998</v>
      </c>
      <c r="C372" s="1">
        <v>3.7107709999999998E-5</v>
      </c>
      <c r="E372">
        <f t="shared" si="20"/>
        <v>3.8604418299484411E-2</v>
      </c>
      <c r="F372" s="1">
        <f t="shared" si="21"/>
        <v>3.5813038974399013E-4</v>
      </c>
      <c r="G372" s="1">
        <f t="shared" si="22"/>
        <v>1.5464340310271626E-4</v>
      </c>
      <c r="H372">
        <f t="shared" si="19"/>
        <v>3.7107709999999998E-5</v>
      </c>
      <c r="I372">
        <f>IF(E372&lt;($A$17),F372,H372)</f>
        <v>3.7107709999999998E-5</v>
      </c>
    </row>
    <row r="373" spans="2:9" x14ac:dyDescent="0.25">
      <c r="B373">
        <v>2.2184400000000002</v>
      </c>
      <c r="C373" s="1">
        <v>6.9861679999999994E-5</v>
      </c>
      <c r="E373">
        <f t="shared" si="20"/>
        <v>3.8709408585893564E-2</v>
      </c>
      <c r="F373" s="1">
        <f t="shared" si="21"/>
        <v>6.7607607890423694E-4</v>
      </c>
      <c r="G373" s="1">
        <f t="shared" si="22"/>
        <v>2.9183974998361011E-4</v>
      </c>
      <c r="H373">
        <f t="shared" si="19"/>
        <v>6.9861679999999994E-5</v>
      </c>
      <c r="I373">
        <f>IF(E373&lt;($A$17),F373,H373)</f>
        <v>6.9861679999999994E-5</v>
      </c>
    </row>
    <row r="374" spans="2:9" x14ac:dyDescent="0.25">
      <c r="B374">
        <v>2.22445</v>
      </c>
      <c r="C374" s="1">
        <v>4.0633339999999999E-5</v>
      </c>
      <c r="E374">
        <f t="shared" si="20"/>
        <v>3.8814224043567554E-2</v>
      </c>
      <c r="F374" s="1">
        <f t="shared" si="21"/>
        <v>3.9428789059961375E-4</v>
      </c>
      <c r="G374" s="1">
        <f t="shared" si="22"/>
        <v>1.7014606842785326E-4</v>
      </c>
      <c r="H374">
        <f t="shared" si="19"/>
        <v>4.0633339999999999E-5</v>
      </c>
      <c r="I374">
        <f>IF(E374&lt;($A$17),F374,H374)</f>
        <v>4.0633339999999999E-5</v>
      </c>
    </row>
    <row r="375" spans="2:9" x14ac:dyDescent="0.25">
      <c r="B375">
        <v>2.2304599999999999</v>
      </c>
      <c r="C375" s="1">
        <v>5.5976320000000003E-5</v>
      </c>
      <c r="E375">
        <f t="shared" si="20"/>
        <v>3.891903907417596E-2</v>
      </c>
      <c r="F375" s="1">
        <f t="shared" si="21"/>
        <v>5.4463614632714423E-4</v>
      </c>
      <c r="G375" s="1">
        <f t="shared" si="22"/>
        <v>2.3494989560431486E-4</v>
      </c>
      <c r="H375">
        <f t="shared" si="19"/>
        <v>5.5976320000000003E-5</v>
      </c>
      <c r="I375">
        <f>IF(E375&lt;($A$17),F375,H375)</f>
        <v>5.5976320000000003E-5</v>
      </c>
    </row>
    <row r="376" spans="2:9" x14ac:dyDescent="0.25">
      <c r="B376">
        <v>2.2364700000000002</v>
      </c>
      <c r="C376" s="1">
        <v>5.6612359999999997E-5</v>
      </c>
      <c r="E376">
        <f t="shared" si="20"/>
        <v>3.9023853676565502E-2</v>
      </c>
      <c r="F376" s="1">
        <f t="shared" si="21"/>
        <v>5.5230811323126242E-4</v>
      </c>
      <c r="G376" s="1">
        <f t="shared" si="22"/>
        <v>2.3818326302787969E-4</v>
      </c>
      <c r="H376">
        <f t="shared" si="19"/>
        <v>5.6612359999999997E-5</v>
      </c>
      <c r="I376">
        <f>IF(E376&lt;($A$17),F376,H376)</f>
        <v>5.6612359999999997E-5</v>
      </c>
    </row>
    <row r="377" spans="2:9" x14ac:dyDescent="0.25">
      <c r="B377">
        <v>2.24248</v>
      </c>
      <c r="C377" s="1">
        <v>3.8352809999999997E-5</v>
      </c>
      <c r="E377">
        <f t="shared" si="20"/>
        <v>3.9128667849582938E-2</v>
      </c>
      <c r="F377" s="1">
        <f t="shared" si="21"/>
        <v>3.7517359089704068E-4</v>
      </c>
      <c r="G377" s="1">
        <f t="shared" si="22"/>
        <v>1.6174236954087548E-4</v>
      </c>
      <c r="H377">
        <f t="shared" si="19"/>
        <v>3.8352809999999997E-5</v>
      </c>
      <c r="I377">
        <f>IF(E377&lt;($A$17),F377,H377)</f>
        <v>3.8352809999999997E-5</v>
      </c>
    </row>
    <row r="378" spans="2:9" x14ac:dyDescent="0.25">
      <c r="B378">
        <v>2.2484999999999999</v>
      </c>
      <c r="C378" s="1">
        <v>6.6773350000000003E-5</v>
      </c>
      <c r="E378">
        <f t="shared" si="20"/>
        <v>3.923365599062157E-2</v>
      </c>
      <c r="F378" s="1">
        <f t="shared" si="21"/>
        <v>6.5494066081034266E-4</v>
      </c>
      <c r="G378" s="1">
        <f t="shared" si="22"/>
        <v>2.822641261079302E-4</v>
      </c>
      <c r="H378">
        <f t="shared" si="19"/>
        <v>6.6773350000000003E-5</v>
      </c>
      <c r="I378">
        <f>IF(E378&lt;($A$17),F378,H378)</f>
        <v>6.6773350000000003E-5</v>
      </c>
    </row>
    <row r="379" spans="2:9" x14ac:dyDescent="0.25">
      <c r="B379">
        <v>2.2545099999999998</v>
      </c>
      <c r="C379" s="1">
        <v>3.4441479999999997E-5</v>
      </c>
      <c r="E379">
        <f t="shared" si="20"/>
        <v>3.9338469300715807E-2</v>
      </c>
      <c r="F379" s="1">
        <f t="shared" si="21"/>
        <v>3.3871877591280434E-4</v>
      </c>
      <c r="G379" s="1">
        <f t="shared" si="22"/>
        <v>1.4593387484686563E-4</v>
      </c>
      <c r="H379">
        <f t="shared" si="19"/>
        <v>3.4441479999999997E-5</v>
      </c>
      <c r="I379">
        <f>IF(E379&lt;($A$17),F379,H379)</f>
        <v>3.4441479999999997E-5</v>
      </c>
    </row>
    <row r="380" spans="2:9" x14ac:dyDescent="0.25">
      <c r="B380">
        <v>2.2605200000000001</v>
      </c>
      <c r="C380" s="1">
        <v>5.9442820000000001E-5</v>
      </c>
      <c r="E380">
        <f t="shared" si="20"/>
        <v>3.9443282177976276E-2</v>
      </c>
      <c r="F380" s="1">
        <f t="shared" si="21"/>
        <v>5.8615498067866292E-4</v>
      </c>
      <c r="G380" s="1">
        <f t="shared" si="22"/>
        <v>2.5246030265789195E-4</v>
      </c>
      <c r="H380">
        <f t="shared" si="19"/>
        <v>5.9442820000000001E-5</v>
      </c>
      <c r="I380">
        <f>IF(E380&lt;($A$17),F380,H380)</f>
        <v>5.9442820000000001E-5</v>
      </c>
    </row>
    <row r="381" spans="2:9" x14ac:dyDescent="0.25">
      <c r="B381">
        <v>2.2665299999999999</v>
      </c>
      <c r="C381" s="1">
        <v>4.6868700000000001E-5</v>
      </c>
      <c r="E381">
        <f t="shared" si="20"/>
        <v>3.9548094621249731E-2</v>
      </c>
      <c r="F381" s="1">
        <f t="shared" si="21"/>
        <v>4.6339194559374183E-4</v>
      </c>
      <c r="G381" s="1">
        <f t="shared" si="22"/>
        <v>1.9952328932562193E-4</v>
      </c>
      <c r="H381">
        <f t="shared" si="19"/>
        <v>4.6868700000000001E-5</v>
      </c>
      <c r="I381">
        <f>IF(E381&lt;($A$17),F381,H381)</f>
        <v>4.6868700000000001E-5</v>
      </c>
    </row>
    <row r="382" spans="2:9" x14ac:dyDescent="0.25">
      <c r="B382">
        <v>2.2725499999999998</v>
      </c>
      <c r="C382" s="1">
        <v>4.1683829999999998E-5</v>
      </c>
      <c r="E382">
        <f t="shared" si="20"/>
        <v>3.9653081025039887E-2</v>
      </c>
      <c r="F382" s="1">
        <f t="shared" si="21"/>
        <v>4.1322307210599701E-4</v>
      </c>
      <c r="G382" s="1">
        <f t="shared" si="22"/>
        <v>1.7786668240027888E-4</v>
      </c>
      <c r="H382">
        <f t="shared" si="19"/>
        <v>4.1683829999999998E-5</v>
      </c>
      <c r="I382">
        <f>IF(E382&lt;($A$17),F382,H382)</f>
        <v>4.1683829999999998E-5</v>
      </c>
    </row>
    <row r="383" spans="2:9" x14ac:dyDescent="0.25">
      <c r="B383">
        <v>2.2785600000000001</v>
      </c>
      <c r="C383" s="1">
        <v>6.1012109999999999E-5</v>
      </c>
      <c r="E383">
        <f t="shared" si="20"/>
        <v>3.9757892596152741E-2</v>
      </c>
      <c r="F383" s="1">
        <f t="shared" si="21"/>
        <v>6.0642822911116407E-4</v>
      </c>
      <c r="G383" s="1">
        <f t="shared" si="22"/>
        <v>2.6094878206224238E-4</v>
      </c>
      <c r="H383">
        <f t="shared" si="19"/>
        <v>6.1012109999999999E-5</v>
      </c>
      <c r="I383">
        <f>IF(E383&lt;($A$17),F383,H383)</f>
        <v>6.1012109999999999E-5</v>
      </c>
    </row>
    <row r="384" spans="2:9" x14ac:dyDescent="0.25">
      <c r="B384">
        <v>2.28457</v>
      </c>
      <c r="C384" s="1">
        <v>3.139974E-5</v>
      </c>
      <c r="E384">
        <f t="shared" si="20"/>
        <v>3.9862703729816991E-2</v>
      </c>
      <c r="F384" s="1">
        <f t="shared" si="21"/>
        <v>3.1291963320332088E-4</v>
      </c>
      <c r="G384" s="1">
        <f t="shared" si="22"/>
        <v>1.3460933061726195E-4</v>
      </c>
      <c r="H384">
        <f t="shared" si="19"/>
        <v>3.139974E-5</v>
      </c>
      <c r="I384">
        <f>IF(E384&lt;($A$17),F384,H384)</f>
        <v>3.139974E-5</v>
      </c>
    </row>
    <row r="385" spans="2:9" x14ac:dyDescent="0.25">
      <c r="B385">
        <v>2.2905799999999998</v>
      </c>
      <c r="C385" s="1">
        <v>6.0839789999999999E-5</v>
      </c>
      <c r="E385">
        <f t="shared" si="20"/>
        <v>3.9967514424879419E-2</v>
      </c>
      <c r="F385" s="1">
        <f t="shared" si="21"/>
        <v>6.0790379610790868E-4</v>
      </c>
      <c r="G385" s="1">
        <f t="shared" si="22"/>
        <v>2.6142333752100528E-4</v>
      </c>
      <c r="H385">
        <f t="shared" si="19"/>
        <v>6.0839789999999999E-5</v>
      </c>
      <c r="I385">
        <f>IF(E385&lt;($A$17),F385,H385)</f>
        <v>6.0839789999999999E-5</v>
      </c>
    </row>
    <row r="386" spans="2:9" x14ac:dyDescent="0.25">
      <c r="B386">
        <v>2.2965900000000001</v>
      </c>
      <c r="C386" s="1">
        <v>3.8189360000000001E-5</v>
      </c>
      <c r="E386">
        <f t="shared" si="20"/>
        <v>4.0072324680186816E-2</v>
      </c>
      <c r="F386" s="1">
        <f t="shared" si="21"/>
        <v>3.8258410831213476E-4</v>
      </c>
      <c r="G386" s="1">
        <f t="shared" si="22"/>
        <v>1.6447664115861124E-4</v>
      </c>
      <c r="H386">
        <f t="shared" si="19"/>
        <v>3.8189360000000001E-5</v>
      </c>
      <c r="I386">
        <f>IF(E386&lt;($A$17),F386,H386)</f>
        <v>3.8189360000000001E-5</v>
      </c>
    </row>
    <row r="387" spans="2:9" x14ac:dyDescent="0.25">
      <c r="B387">
        <v>2.30261</v>
      </c>
      <c r="C387" s="1">
        <v>4.5860170000000003E-5</v>
      </c>
      <c r="E387">
        <f t="shared" si="20"/>
        <v>4.0177308886587958E-2</v>
      </c>
      <c r="F387" s="1">
        <f t="shared" si="21"/>
        <v>4.606345539203586E-4</v>
      </c>
      <c r="G387" s="1">
        <f t="shared" si="22"/>
        <v>1.9797121548973632E-4</v>
      </c>
      <c r="H387">
        <f t="shared" si="19"/>
        <v>4.5860170000000003E-5</v>
      </c>
      <c r="I387">
        <f>IF(E387&lt;($A$17),F387,H387)</f>
        <v>4.5860170000000003E-5</v>
      </c>
    </row>
    <row r="388" spans="2:9" x14ac:dyDescent="0.25">
      <c r="B388">
        <v>2.3086199999999999</v>
      </c>
      <c r="C388" s="1">
        <v>5.3400409999999999E-5</v>
      </c>
      <c r="E388">
        <f t="shared" si="20"/>
        <v>4.0282118258189163E-2</v>
      </c>
      <c r="F388" s="1">
        <f t="shared" si="21"/>
        <v>5.3777040766394679E-4</v>
      </c>
      <c r="G388" s="1">
        <f t="shared" si="22"/>
        <v>2.3105295991229975E-4</v>
      </c>
      <c r="H388">
        <f t="shared" si="19"/>
        <v>5.3400409999999999E-5</v>
      </c>
      <c r="I388">
        <f>IF(E388&lt;($A$17),F388,H388)</f>
        <v>5.3400409999999999E-5</v>
      </c>
    </row>
    <row r="389" spans="2:9" x14ac:dyDescent="0.25">
      <c r="B389">
        <v>2.3146300000000002</v>
      </c>
      <c r="C389" s="1">
        <v>3.1280949999999997E-5</v>
      </c>
      <c r="E389">
        <f t="shared" si="20"/>
        <v>4.0386927186573808E-2</v>
      </c>
      <c r="F389" s="1">
        <f t="shared" si="21"/>
        <v>3.1583536249421394E-4</v>
      </c>
      <c r="G389" s="1">
        <f t="shared" si="22"/>
        <v>1.356579127478013E-4</v>
      </c>
      <c r="H389">
        <f t="shared" ref="H389:H452" si="23">IF(E389&gt;($A$19),C389,G389)</f>
        <v>3.1280949999999997E-5</v>
      </c>
      <c r="I389">
        <f>IF(E389&lt;($A$17),F389,H389)</f>
        <v>3.1280949999999997E-5</v>
      </c>
    </row>
    <row r="390" spans="2:9" x14ac:dyDescent="0.25">
      <c r="B390">
        <v>2.32064</v>
      </c>
      <c r="C390" s="1">
        <v>5.9704840000000001E-5</v>
      </c>
      <c r="E390">
        <f t="shared" ref="E390:E453" si="24">SIN(B390/180*PI())</f>
        <v>4.0491735670588704E-2</v>
      </c>
      <c r="F390" s="1">
        <f t="shared" ref="F390:F453" si="25">C390*$A$5/$A$7*SIN(B390/180*PI())</f>
        <v>6.0438814988369777E-4</v>
      </c>
      <c r="G390" s="1">
        <f t="shared" ref="G390:G453" si="26">C390*(1/2+($A$5/(2*$A$7)-$A$9/$A$7)*SIN(B390/180*PI()))</f>
        <v>2.5951991695580517E-4</v>
      </c>
      <c r="H390">
        <f t="shared" si="23"/>
        <v>5.9704840000000001E-5</v>
      </c>
      <c r="I390">
        <f>IF(E390&lt;($A$17),F390,H390)</f>
        <v>5.9704840000000001E-5</v>
      </c>
    </row>
    <row r="391" spans="2:9" x14ac:dyDescent="0.25">
      <c r="B391">
        <v>2.3266499999999999</v>
      </c>
      <c r="C391" s="1">
        <v>3.1535629999999999E-5</v>
      </c>
      <c r="E391">
        <f t="shared" si="24"/>
        <v>4.0596543709080647E-2</v>
      </c>
      <c r="F391" s="1">
        <f t="shared" si="25"/>
        <v>3.2005939542209869E-4</v>
      </c>
      <c r="G391" s="1">
        <f t="shared" si="26"/>
        <v>1.3739038526039754E-4</v>
      </c>
      <c r="H391">
        <f t="shared" si="23"/>
        <v>3.1535629999999999E-5</v>
      </c>
      <c r="I391">
        <f>IF(E391&lt;($A$17),F391,H391)</f>
        <v>3.1535629999999999E-5</v>
      </c>
    </row>
    <row r="392" spans="2:9" x14ac:dyDescent="0.25">
      <c r="B392">
        <v>2.3326699999999998</v>
      </c>
      <c r="C392" s="1">
        <v>4.967305E-5</v>
      </c>
      <c r="E392">
        <f t="shared" si="24"/>
        <v>4.0701525689195509E-2</v>
      </c>
      <c r="F392" s="1">
        <f t="shared" si="25"/>
        <v>5.0544223015892321E-4</v>
      </c>
      <c r="G392" s="1">
        <f t="shared" si="26"/>
        <v>2.1690457246039085E-4</v>
      </c>
      <c r="H392">
        <f t="shared" si="23"/>
        <v>4.967305E-5</v>
      </c>
      <c r="I392">
        <f>IF(E392&lt;($A$17),F392,H392)</f>
        <v>4.967305E-5</v>
      </c>
    </row>
    <row r="393" spans="2:9" x14ac:dyDescent="0.25">
      <c r="B393">
        <v>2.3386800000000001</v>
      </c>
      <c r="C393" s="1">
        <v>4.4996449999999998E-5</v>
      </c>
      <c r="E393">
        <f t="shared" si="24"/>
        <v>4.0806332832435947E-2</v>
      </c>
      <c r="F393" s="1">
        <f t="shared" si="25"/>
        <v>4.5903502874451561E-4</v>
      </c>
      <c r="G393" s="1">
        <f t="shared" si="26"/>
        <v>1.969315359229159E-4</v>
      </c>
      <c r="H393">
        <f t="shared" si="23"/>
        <v>4.4996449999999998E-5</v>
      </c>
      <c r="I393">
        <f>IF(E393&lt;($A$17),F393,H393)</f>
        <v>4.4996449999999998E-5</v>
      </c>
    </row>
    <row r="394" spans="2:9" x14ac:dyDescent="0.25">
      <c r="B394">
        <v>2.3446899999999999</v>
      </c>
      <c r="C394" s="1">
        <v>3.34161E-5</v>
      </c>
      <c r="E394">
        <f t="shared" si="24"/>
        <v>4.0911139526691974E-2</v>
      </c>
      <c r="F394" s="1">
        <f t="shared" si="25"/>
        <v>3.4177268238447288E-4</v>
      </c>
      <c r="G394" s="1">
        <f t="shared" si="26"/>
        <v>1.465816693060997E-4</v>
      </c>
      <c r="H394">
        <f t="shared" si="23"/>
        <v>3.34161E-5</v>
      </c>
      <c r="I394">
        <f>IF(E394&lt;($A$17),F394,H394)</f>
        <v>3.34161E-5</v>
      </c>
    </row>
    <row r="395" spans="2:9" x14ac:dyDescent="0.25">
      <c r="B395">
        <v>2.3506999999999998</v>
      </c>
      <c r="C395" s="1">
        <v>5.6083789999999999E-5</v>
      </c>
      <c r="E395">
        <f t="shared" si="24"/>
        <v>4.1015945770810434E-2</v>
      </c>
      <c r="F395" s="1">
        <f t="shared" si="25"/>
        <v>5.7508242231538013E-4</v>
      </c>
      <c r="G395" s="1">
        <f t="shared" si="26"/>
        <v>2.465732154798444E-4</v>
      </c>
      <c r="H395">
        <f t="shared" si="23"/>
        <v>5.6083789999999999E-5</v>
      </c>
      <c r="I395">
        <f>IF(E395&lt;($A$17),F395,H395)</f>
        <v>5.6083789999999999E-5</v>
      </c>
    </row>
    <row r="396" spans="2:9" x14ac:dyDescent="0.25">
      <c r="B396">
        <v>2.3567100000000001</v>
      </c>
      <c r="C396" s="1">
        <v>2.7427210000000001E-5</v>
      </c>
      <c r="E396">
        <f t="shared" si="24"/>
        <v>4.1120751563638182E-2</v>
      </c>
      <c r="F396" s="1">
        <f t="shared" si="25"/>
        <v>2.8195687212343319E-4</v>
      </c>
      <c r="G396" s="1">
        <f t="shared" si="26"/>
        <v>1.2085721640690463E-4</v>
      </c>
      <c r="H396">
        <f t="shared" si="23"/>
        <v>2.7427210000000001E-5</v>
      </c>
      <c r="I396">
        <f>IF(E396&lt;($A$17),F396,H396)</f>
        <v>2.7427210000000001E-5</v>
      </c>
    </row>
    <row r="397" spans="2:9" x14ac:dyDescent="0.25">
      <c r="B397">
        <v>2.36273</v>
      </c>
      <c r="C397" s="1">
        <v>5.2149569999999997E-5</v>
      </c>
      <c r="E397">
        <f t="shared" si="24"/>
        <v>4.1225731288570121E-2</v>
      </c>
      <c r="F397" s="1">
        <f t="shared" si="25"/>
        <v>5.3747603990861943E-4</v>
      </c>
      <c r="G397" s="1">
        <f t="shared" si="26"/>
        <v>2.3031568016527537E-4</v>
      </c>
      <c r="H397">
        <f t="shared" si="23"/>
        <v>5.2149569999999997E-5</v>
      </c>
      <c r="I397">
        <f>IF(E397&lt;($A$17),F397,H397)</f>
        <v>5.2149569999999997E-5</v>
      </c>
    </row>
    <row r="398" spans="2:9" x14ac:dyDescent="0.25">
      <c r="B398">
        <v>2.3687399999999998</v>
      </c>
      <c r="C398" s="1">
        <v>3.6896729999999997E-5</v>
      </c>
      <c r="E398">
        <f t="shared" si="24"/>
        <v>4.1330536174601237E-2</v>
      </c>
      <c r="F398" s="1">
        <f t="shared" si="25"/>
        <v>3.8124040849737365E-4</v>
      </c>
      <c r="G398" s="1">
        <f t="shared" si="26"/>
        <v>1.6331972022900202E-4</v>
      </c>
      <c r="H398">
        <f t="shared" si="23"/>
        <v>3.6896729999999997E-5</v>
      </c>
      <c r="I398">
        <f>IF(E398&lt;($A$17),F398,H398)</f>
        <v>3.6896729999999997E-5</v>
      </c>
    </row>
    <row r="399" spans="2:9" x14ac:dyDescent="0.25">
      <c r="B399">
        <v>2.3747500000000001</v>
      </c>
      <c r="C399" s="1">
        <v>3.6867789999999999E-5</v>
      </c>
      <c r="E399">
        <f t="shared" si="24"/>
        <v>4.1435340605880257E-2</v>
      </c>
      <c r="F399" s="1">
        <f t="shared" si="25"/>
        <v>3.8190735900901649E-4</v>
      </c>
      <c r="G399" s="1">
        <f t="shared" si="26"/>
        <v>1.6355869142342628E-4</v>
      </c>
      <c r="H399">
        <f t="shared" si="23"/>
        <v>3.6867789999999999E-5</v>
      </c>
      <c r="I399">
        <f>IF(E399&lt;($A$17),F399,H399)</f>
        <v>3.6867789999999999E-5</v>
      </c>
    </row>
    <row r="400" spans="2:9" x14ac:dyDescent="0.25">
      <c r="B400">
        <v>2.38076</v>
      </c>
      <c r="C400" s="1">
        <v>5.0455119999999999E-5</v>
      </c>
      <c r="E400">
        <f t="shared" si="24"/>
        <v>4.1540144581254025E-2</v>
      </c>
      <c r="F400" s="1">
        <f t="shared" si="25"/>
        <v>5.2397824491613038E-4</v>
      </c>
      <c r="G400" s="1">
        <f t="shared" si="26"/>
        <v>2.2433929306812952E-4</v>
      </c>
      <c r="H400">
        <f t="shared" si="23"/>
        <v>5.0455119999999999E-5</v>
      </c>
      <c r="I400">
        <f>IF(E400&lt;($A$17),F400,H400)</f>
        <v>5.0455119999999999E-5</v>
      </c>
    </row>
    <row r="401" spans="2:9" x14ac:dyDescent="0.25">
      <c r="B401">
        <v>2.3867699999999998</v>
      </c>
      <c r="C401" s="1">
        <v>2.5935299999999999E-5</v>
      </c>
      <c r="E401">
        <f t="shared" si="24"/>
        <v>4.1644948099569402E-2</v>
      </c>
      <c r="F401" s="1">
        <f t="shared" si="25"/>
        <v>2.7001855561169052E-4</v>
      </c>
      <c r="G401" s="1">
        <f t="shared" si="26"/>
        <v>1.155747011324424E-4</v>
      </c>
      <c r="H401">
        <f t="shared" si="23"/>
        <v>2.5935299999999999E-5</v>
      </c>
      <c r="I401">
        <f>IF(E401&lt;($A$17),F401,H401)</f>
        <v>2.5935299999999999E-5</v>
      </c>
    </row>
    <row r="402" spans="2:9" x14ac:dyDescent="0.25">
      <c r="B402">
        <v>2.3927900000000002</v>
      </c>
      <c r="C402" s="1">
        <v>5.2665440000000002E-5</v>
      </c>
      <c r="E402">
        <f t="shared" si="24"/>
        <v>4.1749925540422408E-2</v>
      </c>
      <c r="F402" s="1">
        <f t="shared" si="25"/>
        <v>5.4969454963839587E-4</v>
      </c>
      <c r="G402" s="1">
        <f t="shared" si="26"/>
        <v>2.3521664886259051E-4</v>
      </c>
      <c r="H402">
        <f t="shared" si="23"/>
        <v>5.2665440000000002E-5</v>
      </c>
      <c r="I402">
        <f>IF(E402&lt;($A$17),F402,H402)</f>
        <v>5.2665440000000002E-5</v>
      </c>
    </row>
    <row r="403" spans="2:9" x14ac:dyDescent="0.25">
      <c r="B403">
        <v>2.3988</v>
      </c>
      <c r="C403" s="1">
        <v>3.0043010000000001E-5</v>
      </c>
      <c r="E403">
        <f t="shared" si="24"/>
        <v>4.1854728140396313E-2</v>
      </c>
      <c r="F403" s="1">
        <f t="shared" si="25"/>
        <v>3.1436050401730193E-4</v>
      </c>
      <c r="G403" s="1">
        <f t="shared" si="26"/>
        <v>1.3447849652657473E-4</v>
      </c>
      <c r="H403">
        <f t="shared" si="23"/>
        <v>3.0043010000000001E-5</v>
      </c>
      <c r="I403">
        <f>IF(E403&lt;($A$17),F403,H403)</f>
        <v>3.0043010000000001E-5</v>
      </c>
    </row>
    <row r="404" spans="2:9" x14ac:dyDescent="0.25">
      <c r="B404">
        <v>2.4048099999999999</v>
      </c>
      <c r="C404" s="1">
        <v>4.0615870000000003E-5</v>
      </c>
      <c r="E404">
        <f t="shared" si="24"/>
        <v>4.195953027985054E-2</v>
      </c>
      <c r="F404" s="1">
        <f t="shared" si="25"/>
        <v>4.2605570677686826E-4</v>
      </c>
      <c r="G404" s="1">
        <f t="shared" si="26"/>
        <v>1.8220910357520995E-4</v>
      </c>
      <c r="H404">
        <f t="shared" si="23"/>
        <v>4.0615870000000003E-5</v>
      </c>
      <c r="I404">
        <f>IF(E404&lt;($A$17),F404,H404)</f>
        <v>4.0615870000000003E-5</v>
      </c>
    </row>
    <row r="405" spans="2:9" x14ac:dyDescent="0.25">
      <c r="B405">
        <v>2.4108200000000002</v>
      </c>
      <c r="C405" s="1">
        <v>4.3579089999999997E-5</v>
      </c>
      <c r="E405">
        <f t="shared" si="24"/>
        <v>4.2064331957631956E-2</v>
      </c>
      <c r="F405" s="1">
        <f t="shared" si="25"/>
        <v>4.5828132704287981E-4</v>
      </c>
      <c r="G405" s="1">
        <f t="shared" si="26"/>
        <v>1.9593644927629432E-4</v>
      </c>
      <c r="H405">
        <f t="shared" si="23"/>
        <v>4.3579089999999997E-5</v>
      </c>
      <c r="I405">
        <f>IF(E405&lt;($A$17),F405,H405)</f>
        <v>4.3579089999999997E-5</v>
      </c>
    </row>
    <row r="406" spans="2:9" x14ac:dyDescent="0.25">
      <c r="B406">
        <v>2.41683</v>
      </c>
      <c r="C406" s="1">
        <v>2.672254E-5</v>
      </c>
      <c r="E406">
        <f t="shared" si="24"/>
        <v>4.2169133172587456E-2</v>
      </c>
      <c r="F406" s="1">
        <f t="shared" si="25"/>
        <v>2.8171658699244873E-4</v>
      </c>
      <c r="G406" s="1">
        <f t="shared" si="26"/>
        <v>1.2041357305713054E-4</v>
      </c>
      <c r="H406">
        <f t="shared" si="23"/>
        <v>2.672254E-5</v>
      </c>
      <c r="I406">
        <f>IF(E406&lt;($A$17),F406,H406)</f>
        <v>2.672254E-5</v>
      </c>
    </row>
    <row r="407" spans="2:9" x14ac:dyDescent="0.25">
      <c r="B407">
        <v>2.4228499999999999</v>
      </c>
      <c r="C407" s="1">
        <v>5.1007929999999999E-5</v>
      </c>
      <c r="E407">
        <f t="shared" si="24"/>
        <v>4.2274108300466108E-2</v>
      </c>
      <c r="F407" s="1">
        <f t="shared" si="25"/>
        <v>5.3907868925064854E-4</v>
      </c>
      <c r="G407" s="1">
        <f t="shared" si="26"/>
        <v>2.3035386691524644E-4</v>
      </c>
      <c r="H407">
        <f t="shared" si="23"/>
        <v>5.1007929999999999E-5</v>
      </c>
      <c r="I407">
        <f>IF(E407&lt;($A$17),F407,H407)</f>
        <v>5.1007929999999999E-5</v>
      </c>
    </row>
    <row r="408" spans="2:9" x14ac:dyDescent="0.25">
      <c r="B408">
        <v>2.4288599999999998</v>
      </c>
      <c r="C408" s="1">
        <v>2.508634E-5</v>
      </c>
      <c r="E408">
        <f t="shared" si="24"/>
        <v>4.237890858553555E-2</v>
      </c>
      <c r="F408" s="1">
        <f t="shared" si="25"/>
        <v>2.6578292740141597E-4</v>
      </c>
      <c r="G408" s="1">
        <f t="shared" si="26"/>
        <v>1.1354068241253807E-4</v>
      </c>
      <c r="H408">
        <f t="shared" si="23"/>
        <v>2.508634E-5</v>
      </c>
      <c r="I408">
        <f>IF(E408&lt;($A$17),F408,H408)</f>
        <v>2.508634E-5</v>
      </c>
    </row>
    <row r="409" spans="2:9" x14ac:dyDescent="0.25">
      <c r="B409">
        <v>2.4348700000000001</v>
      </c>
      <c r="C409" s="1">
        <v>4.373577E-5</v>
      </c>
      <c r="E409">
        <f t="shared" si="24"/>
        <v>4.2483708404317838E-2</v>
      </c>
      <c r="F409" s="1">
        <f t="shared" si="25"/>
        <v>4.6451442487957799E-4</v>
      </c>
      <c r="G409" s="1">
        <f t="shared" si="26"/>
        <v>1.9838336645423962E-4</v>
      </c>
      <c r="H409">
        <f t="shared" si="23"/>
        <v>4.373577E-5</v>
      </c>
      <c r="I409">
        <f>IF(E409&lt;($A$17),F409,H409)</f>
        <v>4.373577E-5</v>
      </c>
    </row>
    <row r="410" spans="2:9" x14ac:dyDescent="0.25">
      <c r="B410">
        <v>2.4408799999999999</v>
      </c>
      <c r="C410" s="1">
        <v>3.6357589999999998E-5</v>
      </c>
      <c r="E410">
        <f t="shared" si="24"/>
        <v>4.2588507755659887E-2</v>
      </c>
      <c r="F410" s="1">
        <f t="shared" si="25"/>
        <v>3.8710387592302554E-4</v>
      </c>
      <c r="G410" s="1">
        <f t="shared" si="26"/>
        <v>1.652782678507497E-4</v>
      </c>
      <c r="H410">
        <f t="shared" si="23"/>
        <v>3.6357589999999998E-5</v>
      </c>
      <c r="I410">
        <f>IF(E410&lt;($A$17),F410,H410)</f>
        <v>3.6357589999999998E-5</v>
      </c>
    </row>
    <row r="411" spans="2:9" x14ac:dyDescent="0.25">
      <c r="B411">
        <v>2.4468899999999998</v>
      </c>
      <c r="C411" s="1">
        <v>2.9150640000000001E-5</v>
      </c>
      <c r="E411">
        <f t="shared" si="24"/>
        <v>4.2693306638408604E-2</v>
      </c>
      <c r="F411" s="1">
        <f t="shared" si="25"/>
        <v>3.1113430305646487E-4</v>
      </c>
      <c r="G411" s="1">
        <f t="shared" si="26"/>
        <v>1.3280635516145666E-4</v>
      </c>
      <c r="H411">
        <f t="shared" si="23"/>
        <v>2.9150640000000001E-5</v>
      </c>
      <c r="I411">
        <f>IF(E411&lt;($A$17),F411,H411)</f>
        <v>2.9150640000000001E-5</v>
      </c>
    </row>
    <row r="412" spans="2:9" x14ac:dyDescent="0.25">
      <c r="B412">
        <v>2.4529100000000001</v>
      </c>
      <c r="C412" s="1">
        <v>4.7347369999999998E-5</v>
      </c>
      <c r="E412">
        <f t="shared" si="24"/>
        <v>4.2798279424418155E-2</v>
      </c>
      <c r="F412" s="1">
        <f t="shared" si="25"/>
        <v>5.0659649281782832E-4</v>
      </c>
      <c r="G412" s="1">
        <f t="shared" si="26"/>
        <v>2.1618035227077476E-4</v>
      </c>
      <c r="H412">
        <f t="shared" si="23"/>
        <v>4.7347369999999998E-5</v>
      </c>
      <c r="I412">
        <f>IF(E412&lt;($A$17),F412,H412)</f>
        <v>4.7347369999999998E-5</v>
      </c>
    </row>
    <row r="413" spans="2:9" x14ac:dyDescent="0.25">
      <c r="B413">
        <v>2.45892</v>
      </c>
      <c r="C413" s="1">
        <v>2.2326869999999999E-5</v>
      </c>
      <c r="E413">
        <f t="shared" si="24"/>
        <v>4.2903077365736488E-2</v>
      </c>
      <c r="F413" s="1">
        <f t="shared" si="25"/>
        <v>2.3947285773618523E-4</v>
      </c>
      <c r="G413" s="1">
        <f t="shared" si="26"/>
        <v>1.0216312093975039E-4</v>
      </c>
      <c r="H413">
        <f t="shared" si="23"/>
        <v>2.2326869999999999E-5</v>
      </c>
      <c r="I413">
        <f>IF(E413&lt;($A$17),F413,H413)</f>
        <v>2.2326869999999999E-5</v>
      </c>
    </row>
    <row r="414" spans="2:9" x14ac:dyDescent="0.25">
      <c r="B414">
        <v>2.4649299999999998</v>
      </c>
      <c r="C414" s="1">
        <v>4.5514299999999999E-5</v>
      </c>
      <c r="E414">
        <f t="shared" si="24"/>
        <v>4.3007874835000334E-2</v>
      </c>
      <c r="F414" s="1">
        <f t="shared" si="25"/>
        <v>4.8936832940066387E-4</v>
      </c>
      <c r="G414" s="1">
        <f t="shared" si="26"/>
        <v>2.0871711517225227E-4</v>
      </c>
      <c r="H414">
        <f t="shared" si="23"/>
        <v>4.5514299999999999E-5</v>
      </c>
      <c r="I414">
        <f>IF(E414&lt;($A$17),F414,H414)</f>
        <v>4.5514299999999999E-5</v>
      </c>
    </row>
    <row r="415" spans="2:9" x14ac:dyDescent="0.25">
      <c r="B415">
        <v>2.4709400000000001</v>
      </c>
      <c r="C415" s="1">
        <v>2.965219E-5</v>
      </c>
      <c r="E415">
        <f t="shared" si="24"/>
        <v>4.3112671831056652E-2</v>
      </c>
      <c r="F415" s="1">
        <f t="shared" si="25"/>
        <v>3.1959628413553493E-4</v>
      </c>
      <c r="G415" s="1">
        <f t="shared" si="26"/>
        <v>1.3627268297150327E-4</v>
      </c>
      <c r="H415">
        <f t="shared" si="23"/>
        <v>2.965219E-5</v>
      </c>
      <c r="I415">
        <f>IF(E415&lt;($A$17),F415,H415)</f>
        <v>2.965219E-5</v>
      </c>
    </row>
    <row r="416" spans="2:9" x14ac:dyDescent="0.25">
      <c r="B416">
        <v>2.47695</v>
      </c>
      <c r="C416" s="1">
        <v>3.241732E-5</v>
      </c>
      <c r="E416">
        <f t="shared" si="24"/>
        <v>4.321746835275235E-2</v>
      </c>
      <c r="F416" s="1">
        <f t="shared" si="25"/>
        <v>3.5024862529526142E-4</v>
      </c>
      <c r="G416" s="1">
        <f t="shared" si="26"/>
        <v>1.4930313761219938E-4</v>
      </c>
      <c r="H416">
        <f t="shared" si="23"/>
        <v>3.241732E-5</v>
      </c>
      <c r="I416">
        <f>IF(E416&lt;($A$17),F416,H416)</f>
        <v>3.241732E-5</v>
      </c>
    </row>
    <row r="417" spans="2:9" x14ac:dyDescent="0.25">
      <c r="B417">
        <v>2.4829699999999999</v>
      </c>
      <c r="C417" s="1">
        <v>4.2160850000000001E-5</v>
      </c>
      <c r="E417">
        <f t="shared" si="24"/>
        <v>4.3322438767998676E-2</v>
      </c>
      <c r="F417" s="1">
        <f t="shared" si="25"/>
        <v>4.5662771063294423E-4</v>
      </c>
      <c r="G417" s="1">
        <f t="shared" si="26"/>
        <v>1.9459895504051882E-4</v>
      </c>
      <c r="H417">
        <f t="shared" si="23"/>
        <v>4.2160850000000001E-5</v>
      </c>
      <c r="I417">
        <f>IF(E417&lt;($A$17),F417,H417)</f>
        <v>4.2160850000000001E-5</v>
      </c>
    </row>
    <row r="418" spans="2:9" x14ac:dyDescent="0.25">
      <c r="B418">
        <v>2.4889800000000002</v>
      </c>
      <c r="C418" s="1">
        <v>2.1714800000000001E-5</v>
      </c>
      <c r="E418">
        <f t="shared" si="24"/>
        <v>4.3427234336719911E-2</v>
      </c>
      <c r="F418" s="1">
        <f t="shared" si="25"/>
        <v>2.3575342704375139E-4</v>
      </c>
      <c r="G418" s="1">
        <f t="shared" si="26"/>
        <v>1.0044370227662552E-4</v>
      </c>
      <c r="H418">
        <f t="shared" si="23"/>
        <v>2.1714800000000001E-5</v>
      </c>
      <c r="I418">
        <f>IF(E418&lt;($A$17),F418,H418)</f>
        <v>2.1714800000000001E-5</v>
      </c>
    </row>
    <row r="419" spans="2:9" x14ac:dyDescent="0.25">
      <c r="B419">
        <v>2.49499</v>
      </c>
      <c r="C419" s="1">
        <v>4.5548840000000003E-5</v>
      </c>
      <c r="E419">
        <f t="shared" si="24"/>
        <v>4.3532029427619467E-2</v>
      </c>
      <c r="F419" s="1">
        <f t="shared" si="25"/>
        <v>4.9570836081848271E-4</v>
      </c>
      <c r="G419" s="1">
        <f t="shared" si="26"/>
        <v>2.1114359711102345E-4</v>
      </c>
      <c r="H419">
        <f t="shared" si="23"/>
        <v>4.5548840000000003E-5</v>
      </c>
      <c r="I419">
        <f>IF(E419&lt;($A$17),F419,H419)</f>
        <v>4.5548840000000003E-5</v>
      </c>
    </row>
    <row r="420" spans="2:9" x14ac:dyDescent="0.25">
      <c r="B420">
        <v>2.5009999999999999</v>
      </c>
      <c r="C420" s="1">
        <v>2.4170050000000001E-5</v>
      </c>
      <c r="E420">
        <f t="shared" si="24"/>
        <v>4.3636824039544296E-2</v>
      </c>
      <c r="F420" s="1">
        <f t="shared" si="25"/>
        <v>2.6367605471924694E-4</v>
      </c>
      <c r="G420" s="1">
        <f t="shared" si="26"/>
        <v>1.1228192579331381E-4</v>
      </c>
      <c r="H420">
        <f t="shared" si="23"/>
        <v>2.4170050000000001E-5</v>
      </c>
      <c r="I420">
        <f>IF(E420&lt;($A$17),F420,H420)</f>
        <v>2.4170050000000001E-5</v>
      </c>
    </row>
    <row r="421" spans="2:9" x14ac:dyDescent="0.25">
      <c r="B421">
        <v>2.5070100000000002</v>
      </c>
      <c r="C421" s="1">
        <v>3.5701919999999999E-5</v>
      </c>
      <c r="E421">
        <f t="shared" si="24"/>
        <v>4.3741618171341375E-2</v>
      </c>
      <c r="F421" s="1">
        <f t="shared" si="25"/>
        <v>3.90414938155944E-4</v>
      </c>
      <c r="G421" s="1">
        <f t="shared" si="26"/>
        <v>1.6620863649925873E-4</v>
      </c>
      <c r="H421">
        <f t="shared" si="23"/>
        <v>3.5701919999999999E-5</v>
      </c>
      <c r="I421">
        <f>IF(E421&lt;($A$17),F421,H421)</f>
        <v>3.5701919999999999E-5</v>
      </c>
    </row>
    <row r="422" spans="2:9" x14ac:dyDescent="0.25">
      <c r="B422">
        <v>2.5130300000000001</v>
      </c>
      <c r="C422" s="1">
        <v>3.6115980000000003E-5</v>
      </c>
      <c r="E422">
        <f t="shared" si="24"/>
        <v>4.3846586186931033E-2</v>
      </c>
      <c r="F422" s="1">
        <f t="shared" si="25"/>
        <v>3.9589060744886934E-4</v>
      </c>
      <c r="G422" s="1">
        <f t="shared" si="26"/>
        <v>1.6849642083057039E-4</v>
      </c>
      <c r="H422">
        <f t="shared" si="23"/>
        <v>3.6115980000000003E-5</v>
      </c>
      <c r="I422">
        <f>IF(E422&lt;($A$17),F422,H422)</f>
        <v>3.6115980000000003E-5</v>
      </c>
    </row>
    <row r="423" spans="2:9" x14ac:dyDescent="0.25">
      <c r="B423">
        <v>2.5190399999999999</v>
      </c>
      <c r="C423" s="1">
        <v>2.289728E-5</v>
      </c>
      <c r="E423">
        <f t="shared" si="24"/>
        <v>4.395137935420982E-2</v>
      </c>
      <c r="F423" s="1">
        <f t="shared" si="25"/>
        <v>2.5159175986489037E-4</v>
      </c>
      <c r="G423" s="1">
        <f t="shared" si="26"/>
        <v>1.0705350874865833E-4</v>
      </c>
      <c r="H423">
        <f t="shared" si="23"/>
        <v>2.289728E-5</v>
      </c>
      <c r="I423">
        <f>IF(E423&lt;($A$17),F423,H423)</f>
        <v>2.289728E-5</v>
      </c>
    </row>
    <row r="424" spans="2:9" x14ac:dyDescent="0.25">
      <c r="B424">
        <v>2.5250499999999998</v>
      </c>
      <c r="C424" s="1">
        <v>4.3751670000000001E-5</v>
      </c>
      <c r="E424">
        <f t="shared" si="24"/>
        <v>4.4056172037899875E-2</v>
      </c>
      <c r="F424" s="1">
        <f t="shared" si="25"/>
        <v>4.8188277511635569E-4</v>
      </c>
      <c r="G424" s="1">
        <f t="shared" si="26"/>
        <v>2.0499128954421517E-4</v>
      </c>
      <c r="H424">
        <f t="shared" si="23"/>
        <v>4.3751670000000001E-5</v>
      </c>
      <c r="I424">
        <f>IF(E424&lt;($A$17),F424,H424)</f>
        <v>4.3751670000000001E-5</v>
      </c>
    </row>
    <row r="425" spans="2:9" x14ac:dyDescent="0.25">
      <c r="B425">
        <v>2.5310600000000001</v>
      </c>
      <c r="C425" s="1">
        <v>2.0372649999999999E-5</v>
      </c>
      <c r="E425">
        <f t="shared" si="24"/>
        <v>4.4160964236848163E-2</v>
      </c>
      <c r="F425" s="1">
        <f t="shared" si="25"/>
        <v>2.2491896701495618E-4</v>
      </c>
      <c r="G425" s="1">
        <f t="shared" si="26"/>
        <v>9.5655532465683353E-5</v>
      </c>
      <c r="H425">
        <f t="shared" si="23"/>
        <v>2.0372649999999999E-5</v>
      </c>
      <c r="I425">
        <f>IF(E425&lt;($A$17),F425,H425)</f>
        <v>2.0372649999999999E-5</v>
      </c>
    </row>
    <row r="426" spans="2:9" x14ac:dyDescent="0.25">
      <c r="B426">
        <v>2.5370699999999999</v>
      </c>
      <c r="C426" s="1">
        <v>3.8281899999999997E-5</v>
      </c>
      <c r="E426">
        <f t="shared" si="24"/>
        <v>4.4265755949901675E-2</v>
      </c>
      <c r="F426" s="1">
        <f t="shared" si="25"/>
        <v>4.2364431067463515E-4</v>
      </c>
      <c r="G426" s="1">
        <f t="shared" si="26"/>
        <v>1.8012578805636135E-4</v>
      </c>
      <c r="H426">
        <f t="shared" si="23"/>
        <v>3.8281899999999997E-5</v>
      </c>
      <c r="I426">
        <f>IF(E426&lt;($A$17),F426,H426)</f>
        <v>3.8281899999999997E-5</v>
      </c>
    </row>
    <row r="427" spans="2:9" x14ac:dyDescent="0.25">
      <c r="B427">
        <v>2.5430899999999999</v>
      </c>
      <c r="C427" s="1">
        <v>2.99502E-5</v>
      </c>
      <c r="E427">
        <f t="shared" si="24"/>
        <v>4.4370721536941854E-2</v>
      </c>
      <c r="F427" s="1">
        <f t="shared" si="25"/>
        <v>3.3222799604392897E-4</v>
      </c>
      <c r="G427" s="1">
        <f t="shared" si="26"/>
        <v>1.4122173849669302E-4</v>
      </c>
      <c r="H427">
        <f t="shared" si="23"/>
        <v>2.99502E-5</v>
      </c>
      <c r="I427">
        <f>IF(E427&lt;($A$17),F427,H427)</f>
        <v>2.99502E-5</v>
      </c>
    </row>
    <row r="428" spans="2:9" x14ac:dyDescent="0.25">
      <c r="B428">
        <v>2.5491000000000001</v>
      </c>
      <c r="C428" s="1">
        <v>2.5309069999999999E-5</v>
      </c>
      <c r="E428">
        <f t="shared" si="24"/>
        <v>4.4475512273933544E-2</v>
      </c>
      <c r="F428" s="1">
        <f t="shared" si="25"/>
        <v>2.8140846335671077E-4</v>
      </c>
      <c r="G428" s="1">
        <f t="shared" si="26"/>
        <v>1.1958975107555011E-4</v>
      </c>
      <c r="H428">
        <f t="shared" si="23"/>
        <v>2.5309069999999999E-5</v>
      </c>
      <c r="I428">
        <f>IF(E428&lt;($A$17),F428,H428)</f>
        <v>2.5309069999999999E-5</v>
      </c>
    </row>
    <row r="429" spans="2:9" x14ac:dyDescent="0.25">
      <c r="B429">
        <v>2.55511</v>
      </c>
      <c r="C429" s="1">
        <v>4.0329910000000002E-5</v>
      </c>
      <c r="E429">
        <f t="shared" si="24"/>
        <v>4.4580302521569554E-2</v>
      </c>
      <c r="F429" s="1">
        <f t="shared" si="25"/>
        <v>4.4947989711691832E-4</v>
      </c>
      <c r="G429" s="1">
        <f t="shared" si="26"/>
        <v>1.9096731590442898E-4</v>
      </c>
      <c r="H429">
        <f t="shared" si="23"/>
        <v>4.0329910000000002E-5</v>
      </c>
      <c r="I429">
        <f>IF(E429&lt;($A$17),F429,H429)</f>
        <v>4.0329910000000002E-5</v>
      </c>
    </row>
    <row r="430" spans="2:9" x14ac:dyDescent="0.25">
      <c r="B430">
        <v>2.5611199999999998</v>
      </c>
      <c r="C430" s="1">
        <v>1.8440189999999999E-5</v>
      </c>
      <c r="E430">
        <f t="shared" si="24"/>
        <v>4.4685092278696881E-2</v>
      </c>
      <c r="F430" s="1">
        <f t="shared" si="25"/>
        <v>2.0600039794667585E-4</v>
      </c>
      <c r="G430" s="1">
        <f t="shared" si="26"/>
        <v>8.7500246219736818E-5</v>
      </c>
      <c r="H430">
        <f t="shared" si="23"/>
        <v>1.8440189999999999E-5</v>
      </c>
      <c r="I430">
        <f>IF(E430&lt;($A$17),F430,H430)</f>
        <v>1.8440189999999999E-5</v>
      </c>
    </row>
    <row r="431" spans="2:9" x14ac:dyDescent="0.25">
      <c r="B431">
        <v>2.5671300000000001</v>
      </c>
      <c r="C431" s="1">
        <v>3.9632609999999998E-5</v>
      </c>
      <c r="E431">
        <f t="shared" si="24"/>
        <v>4.4789881544162573E-2</v>
      </c>
      <c r="F431" s="1">
        <f t="shared" si="25"/>
        <v>4.4378497679649825E-4</v>
      </c>
      <c r="G431" s="1">
        <f t="shared" si="26"/>
        <v>1.8845459618266932E-4</v>
      </c>
      <c r="H431">
        <f t="shared" si="23"/>
        <v>3.9632609999999998E-5</v>
      </c>
      <c r="I431">
        <f>IF(E431&lt;($A$17),F431,H431)</f>
        <v>3.9632609999999998E-5</v>
      </c>
    </row>
    <row r="432" spans="2:9" x14ac:dyDescent="0.25">
      <c r="B432">
        <v>2.57315</v>
      </c>
      <c r="C432" s="1">
        <v>2.4350560000000001E-5</v>
      </c>
      <c r="E432">
        <f t="shared" si="24"/>
        <v>4.489484467376112E-2</v>
      </c>
      <c r="F432" s="1">
        <f t="shared" si="25"/>
        <v>2.7330365222977515E-4</v>
      </c>
      <c r="G432" s="1">
        <f t="shared" si="26"/>
        <v>1.1603066784731456E-4</v>
      </c>
      <c r="H432">
        <f t="shared" si="23"/>
        <v>2.4350560000000001E-5</v>
      </c>
      <c r="I432">
        <f>IF(E432&lt;($A$17),F432,H432)</f>
        <v>2.4350560000000001E-5</v>
      </c>
    </row>
    <row r="433" spans="2:9" x14ac:dyDescent="0.25">
      <c r="B433">
        <v>2.5791599999999999</v>
      </c>
      <c r="C433" s="1">
        <v>2.8286350000000001E-5</v>
      </c>
      <c r="E433">
        <f t="shared" si="24"/>
        <v>4.4999632951621696E-2</v>
      </c>
      <c r="F433" s="1">
        <f t="shared" si="25"/>
        <v>3.1821884188527606E-4</v>
      </c>
      <c r="G433" s="1">
        <f t="shared" si="26"/>
        <v>1.350663349164049E-4</v>
      </c>
      <c r="H433">
        <f t="shared" si="23"/>
        <v>2.8286350000000001E-5</v>
      </c>
      <c r="I433">
        <f>IF(E433&lt;($A$17),F433,H433)</f>
        <v>2.8286350000000001E-5</v>
      </c>
    </row>
    <row r="434" spans="2:9" x14ac:dyDescent="0.25">
      <c r="B434">
        <v>2.5851700000000002</v>
      </c>
      <c r="C434" s="1">
        <v>3.5713149999999999E-5</v>
      </c>
      <c r="E434">
        <f t="shared" si="24"/>
        <v>4.5104420734359794E-2</v>
      </c>
      <c r="F434" s="1">
        <f t="shared" si="25"/>
        <v>4.0270523583732536E-4</v>
      </c>
      <c r="G434" s="1">
        <f t="shared" si="26"/>
        <v>1.7088456461818364E-4</v>
      </c>
      <c r="H434">
        <f t="shared" si="23"/>
        <v>3.5713149999999999E-5</v>
      </c>
      <c r="I434">
        <f>IF(E434&lt;($A$17),F434,H434)</f>
        <v>3.5713149999999999E-5</v>
      </c>
    </row>
    <row r="435" spans="2:9" x14ac:dyDescent="0.25">
      <c r="B435">
        <v>2.59118</v>
      </c>
      <c r="C435" s="1">
        <v>1.827635E-5</v>
      </c>
      <c r="E435">
        <f t="shared" si="24"/>
        <v>4.5209208020822442E-2</v>
      </c>
      <c r="F435" s="1">
        <f t="shared" si="25"/>
        <v>2.0656482725283956E-4</v>
      </c>
      <c r="G435" s="1">
        <f t="shared" si="26"/>
        <v>8.7632809356079041E-5</v>
      </c>
      <c r="H435">
        <f t="shared" si="23"/>
        <v>1.827635E-5</v>
      </c>
      <c r="I435">
        <f>IF(E435&lt;($A$17),F435,H435)</f>
        <v>1.827635E-5</v>
      </c>
    </row>
    <row r="436" spans="2:9" x14ac:dyDescent="0.25">
      <c r="B436">
        <v>2.5971899999999999</v>
      </c>
      <c r="C436" s="1">
        <v>3.9472859999999997E-5</v>
      </c>
      <c r="E436">
        <f t="shared" si="24"/>
        <v>4.5313994809856685E-2</v>
      </c>
      <c r="F436" s="1">
        <f t="shared" si="25"/>
        <v>4.471682432925498E-4</v>
      </c>
      <c r="G436" s="1">
        <f t="shared" si="26"/>
        <v>1.8966036245116896E-4</v>
      </c>
      <c r="H436">
        <f t="shared" si="23"/>
        <v>3.9472859999999997E-5</v>
      </c>
      <c r="I436">
        <f>IF(E436&lt;($A$17),F436,H436)</f>
        <v>3.9472859999999997E-5</v>
      </c>
    </row>
    <row r="437" spans="2:9" x14ac:dyDescent="0.25">
      <c r="B437">
        <v>2.6032099999999998</v>
      </c>
      <c r="C437" s="1">
        <v>1.9862119999999999E-5</v>
      </c>
      <c r="E437">
        <f t="shared" si="24"/>
        <v>4.5418955453122162E-2</v>
      </c>
      <c r="F437" s="1">
        <f t="shared" si="25"/>
        <v>2.2552918587114164E-4</v>
      </c>
      <c r="G437" s="1">
        <f t="shared" si="26"/>
        <v>9.5632150631033832E-5</v>
      </c>
      <c r="H437">
        <f t="shared" si="23"/>
        <v>1.9862119999999999E-5</v>
      </c>
      <c r="I437">
        <f>IF(E437&lt;($A$17),F437,H437)</f>
        <v>1.9862119999999999E-5</v>
      </c>
    </row>
    <row r="438" spans="2:9" x14ac:dyDescent="0.25">
      <c r="B438">
        <v>2.6092200000000001</v>
      </c>
      <c r="C438" s="1">
        <v>3.1160729999999997E-5</v>
      </c>
      <c r="E438">
        <f t="shared" si="24"/>
        <v>4.55237412430083E-2</v>
      </c>
      <c r="F438" s="1">
        <f t="shared" si="25"/>
        <v>3.5463825236581146E-4</v>
      </c>
      <c r="G438" s="1">
        <f t="shared" si="26"/>
        <v>1.5034290089900837E-4</v>
      </c>
      <c r="H438">
        <f t="shared" si="23"/>
        <v>3.1160729999999997E-5</v>
      </c>
      <c r="I438">
        <f>IF(E438&lt;($A$17),F438,H438)</f>
        <v>3.1160729999999997E-5</v>
      </c>
    </row>
    <row r="439" spans="2:9" x14ac:dyDescent="0.25">
      <c r="B439">
        <v>2.6152299999999999</v>
      </c>
      <c r="C439" s="1">
        <v>3.0466519999999998E-5</v>
      </c>
      <c r="E439">
        <f t="shared" si="24"/>
        <v>4.5628526532005283E-2</v>
      </c>
      <c r="F439" s="1">
        <f t="shared" si="25"/>
        <v>3.4753560403946737E-4</v>
      </c>
      <c r="G439" s="1">
        <f t="shared" si="26"/>
        <v>1.472967895349976E-4</v>
      </c>
      <c r="H439">
        <f t="shared" si="23"/>
        <v>3.0466519999999998E-5</v>
      </c>
      <c r="I439">
        <f>IF(E439&lt;($A$17),F439,H439)</f>
        <v>3.0466519999999998E-5</v>
      </c>
    </row>
    <row r="440" spans="2:9" x14ac:dyDescent="0.25">
      <c r="B440">
        <v>2.6212399999999998</v>
      </c>
      <c r="C440" s="1">
        <v>1.9558480000000001E-5</v>
      </c>
      <c r="E440">
        <f t="shared" si="24"/>
        <v>4.5733311318960176E-2</v>
      </c>
      <c r="F440" s="1">
        <f t="shared" si="25"/>
        <v>2.2361851369141406E-4</v>
      </c>
      <c r="G440" s="1">
        <f t="shared" si="26"/>
        <v>9.4754275202737356E-5</v>
      </c>
      <c r="H440">
        <f t="shared" si="23"/>
        <v>1.9558480000000001E-5</v>
      </c>
      <c r="I440">
        <f>IF(E440&lt;($A$17),F440,H440)</f>
        <v>1.9558480000000001E-5</v>
      </c>
    </row>
    <row r="441" spans="2:9" x14ac:dyDescent="0.25">
      <c r="B441">
        <v>2.6272500000000001</v>
      </c>
      <c r="C441" s="1">
        <v>3.7772009999999998E-5</v>
      </c>
      <c r="E441">
        <f t="shared" si="24"/>
        <v>4.5838095602720078E-2</v>
      </c>
      <c r="F441" s="1">
        <f t="shared" si="25"/>
        <v>4.3284925137172461E-4</v>
      </c>
      <c r="G441" s="1">
        <f t="shared" si="26"/>
        <v>1.8336872052125539E-4</v>
      </c>
      <c r="H441">
        <f t="shared" si="23"/>
        <v>3.7772009999999998E-5</v>
      </c>
      <c r="I441">
        <f>IF(E441&lt;($A$17),F441,H441)</f>
        <v>3.7772009999999998E-5</v>
      </c>
    </row>
    <row r="442" spans="2:9" x14ac:dyDescent="0.25">
      <c r="B442">
        <v>2.63327</v>
      </c>
      <c r="C442" s="1">
        <v>1.682836E-5</v>
      </c>
      <c r="E442">
        <f t="shared" si="24"/>
        <v>4.5943053730761706E-2</v>
      </c>
      <c r="F442" s="1">
        <f t="shared" si="25"/>
        <v>1.9328656192015028E-4</v>
      </c>
      <c r="G442" s="1">
        <f t="shared" si="26"/>
        <v>8.1863073529657107E-5</v>
      </c>
      <c r="H442">
        <f t="shared" si="23"/>
        <v>1.682836E-5</v>
      </c>
      <c r="I442">
        <f>IF(E442&lt;($A$17),F442,H442)</f>
        <v>1.682836E-5</v>
      </c>
    </row>
    <row r="443" spans="2:9" x14ac:dyDescent="0.25">
      <c r="B443">
        <v>2.6392799999999998</v>
      </c>
      <c r="C443" s="1">
        <v>3.3364970000000001E-5</v>
      </c>
      <c r="E443">
        <f t="shared" si="24"/>
        <v>4.6047837003830749E-2</v>
      </c>
      <c r="F443" s="1">
        <f t="shared" si="25"/>
        <v>3.8409617504942564E-4</v>
      </c>
      <c r="G443" s="1">
        <f t="shared" si="26"/>
        <v>1.6263903151878179E-4</v>
      </c>
      <c r="H443">
        <f t="shared" si="23"/>
        <v>3.3364970000000001E-5</v>
      </c>
      <c r="I443">
        <f>IF(E443&lt;($A$17),F443,H443)</f>
        <v>3.3364970000000001E-5</v>
      </c>
    </row>
    <row r="444" spans="2:9" x14ac:dyDescent="0.25">
      <c r="B444">
        <v>2.6452900000000001</v>
      </c>
      <c r="C444" s="1">
        <v>2.519052E-5</v>
      </c>
      <c r="E444">
        <f t="shared" si="24"/>
        <v>4.6152619770244131E-2</v>
      </c>
      <c r="F444" s="1">
        <f t="shared" si="25"/>
        <v>2.9065212284368251E-4</v>
      </c>
      <c r="G444" s="1">
        <f t="shared" si="26"/>
        <v>1.2304306668059936E-4</v>
      </c>
      <c r="H444">
        <f t="shared" si="23"/>
        <v>2.519052E-5</v>
      </c>
      <c r="I444">
        <f>IF(E444&lt;($A$17),F444,H444)</f>
        <v>2.519052E-5</v>
      </c>
    </row>
    <row r="445" spans="2:9" x14ac:dyDescent="0.25">
      <c r="B445">
        <v>2.6513</v>
      </c>
      <c r="C445" s="1">
        <v>2.1808059999999999E-5</v>
      </c>
      <c r="E445">
        <f t="shared" si="24"/>
        <v>4.6257402028848912E-2</v>
      </c>
      <c r="F445" s="1">
        <f t="shared" si="25"/>
        <v>2.5219604972231469E-4</v>
      </c>
      <c r="G445" s="1">
        <f t="shared" si="26"/>
        <v>1.0673852889447958E-4</v>
      </c>
      <c r="H445">
        <f t="shared" si="23"/>
        <v>2.1808059999999999E-5</v>
      </c>
      <c r="I445">
        <f>IF(E445&lt;($A$17),F445,H445)</f>
        <v>2.1808059999999999E-5</v>
      </c>
    </row>
    <row r="446" spans="2:9" x14ac:dyDescent="0.25">
      <c r="B446">
        <v>2.6573099999999998</v>
      </c>
      <c r="C446" s="1">
        <v>3.472902E-5</v>
      </c>
      <c r="E446">
        <f t="shared" si="24"/>
        <v>4.6362183778492216E-2</v>
      </c>
      <c r="F446" s="1">
        <f t="shared" si="25"/>
        <v>4.0252830192173293E-4</v>
      </c>
      <c r="G446" s="1">
        <f t="shared" si="26"/>
        <v>1.7032526473025853E-4</v>
      </c>
      <c r="H446">
        <f t="shared" si="23"/>
        <v>3.472902E-5</v>
      </c>
      <c r="I446">
        <f>IF(E446&lt;($A$17),F446,H446)</f>
        <v>3.472902E-5</v>
      </c>
    </row>
    <row r="447" spans="2:9" x14ac:dyDescent="0.25">
      <c r="B447">
        <v>2.6633300000000002</v>
      </c>
      <c r="C447" s="1">
        <v>1.5367500000000002E-5</v>
      </c>
      <c r="E447">
        <f t="shared" si="24"/>
        <v>4.6467139362419932E-2</v>
      </c>
      <c r="F447" s="1">
        <f t="shared" si="25"/>
        <v>1.7852094103799708E-4</v>
      </c>
      <c r="G447" s="1">
        <f t="shared" si="26"/>
        <v>7.5521707594438905E-5</v>
      </c>
      <c r="H447">
        <f t="shared" si="23"/>
        <v>1.5367500000000002E-5</v>
      </c>
      <c r="I447">
        <f>IF(E447&lt;($A$17),F447,H447)</f>
        <v>1.5367500000000002E-5</v>
      </c>
    </row>
    <row r="448" spans="2:9" x14ac:dyDescent="0.25">
      <c r="B448">
        <v>2.66934</v>
      </c>
      <c r="C448" s="1">
        <v>3.4490689999999998E-5</v>
      </c>
      <c r="E448">
        <f t="shared" si="24"/>
        <v>4.6571920089829938E-2</v>
      </c>
      <c r="F448" s="1">
        <f t="shared" si="25"/>
        <v>4.0157441463077408E-4</v>
      </c>
      <c r="G448" s="1">
        <f t="shared" si="26"/>
        <v>1.6984362255969415E-4</v>
      </c>
      <c r="H448">
        <f t="shared" si="23"/>
        <v>3.4490689999999998E-5</v>
      </c>
      <c r="I448">
        <f>IF(E448&lt;($A$17),F448,H448)</f>
        <v>3.4490689999999998E-5</v>
      </c>
    </row>
    <row r="449" spans="2:9" x14ac:dyDescent="0.25">
      <c r="B449">
        <v>2.6753499999999999</v>
      </c>
      <c r="C449" s="1">
        <v>2.0444220000000001E-5</v>
      </c>
      <c r="E449">
        <f t="shared" si="24"/>
        <v>4.6676700304817881E-2</v>
      </c>
      <c r="F449" s="1">
        <f t="shared" si="25"/>
        <v>2.3856718247644093E-4</v>
      </c>
      <c r="G449" s="1">
        <f t="shared" si="26"/>
        <v>1.0087763934104755E-4</v>
      </c>
      <c r="H449">
        <f t="shared" si="23"/>
        <v>2.0444220000000001E-5</v>
      </c>
      <c r="I449">
        <f>IF(E449&lt;($A$17),F449,H449)</f>
        <v>2.0444220000000001E-5</v>
      </c>
    </row>
    <row r="450" spans="2:9" x14ac:dyDescent="0.25">
      <c r="B450">
        <v>2.6813600000000002</v>
      </c>
      <c r="C450" s="1">
        <v>2.4475349999999999E-5</v>
      </c>
      <c r="E450">
        <f t="shared" si="24"/>
        <v>4.6781480006230891E-2</v>
      </c>
      <c r="F450" s="1">
        <f t="shared" si="25"/>
        <v>2.8624827416762579E-4</v>
      </c>
      <c r="G450" s="1">
        <f t="shared" si="26"/>
        <v>1.2101201918369782E-4</v>
      </c>
      <c r="H450">
        <f t="shared" si="23"/>
        <v>2.4475349999999999E-5</v>
      </c>
      <c r="I450">
        <f>IF(E450&lt;($A$17),F450,H450)</f>
        <v>2.4475349999999999E-5</v>
      </c>
    </row>
    <row r="451" spans="2:9" x14ac:dyDescent="0.25">
      <c r="B451">
        <v>2.68737</v>
      </c>
      <c r="C451" s="1">
        <v>3.070997E-5</v>
      </c>
      <c r="E451">
        <f t="shared" si="24"/>
        <v>4.6886259192916079E-2</v>
      </c>
      <c r="F451" s="1">
        <f t="shared" si="25"/>
        <v>3.5996890330666922E-4</v>
      </c>
      <c r="G451" s="1">
        <f t="shared" si="26"/>
        <v>1.5214316825653431E-4</v>
      </c>
      <c r="H451">
        <f t="shared" si="23"/>
        <v>3.070997E-5</v>
      </c>
      <c r="I451">
        <f>IF(E451&lt;($A$17),F451,H451)</f>
        <v>3.070997E-5</v>
      </c>
    </row>
    <row r="452" spans="2:9" x14ac:dyDescent="0.25">
      <c r="B452">
        <v>2.69339</v>
      </c>
      <c r="C452" s="1">
        <v>1.538176E-5</v>
      </c>
      <c r="E452">
        <f t="shared" si="24"/>
        <v>4.699121220384047E-2</v>
      </c>
      <c r="F452" s="1">
        <f t="shared" si="25"/>
        <v>1.8070188705713629E-4</v>
      </c>
      <c r="G452" s="1">
        <f t="shared" si="26"/>
        <v>7.6357597081711792E-5</v>
      </c>
      <c r="H452">
        <f t="shared" si="23"/>
        <v>1.538176E-5</v>
      </c>
      <c r="I452">
        <f>IF(E452&lt;($A$17),F452,H452)</f>
        <v>1.538176E-5</v>
      </c>
    </row>
    <row r="453" spans="2:9" x14ac:dyDescent="0.25">
      <c r="B453">
        <v>2.6993999999999998</v>
      </c>
      <c r="C453" s="1">
        <v>3.4324479999999998E-5</v>
      </c>
      <c r="E453">
        <f t="shared" si="24"/>
        <v>4.7095990356750196E-2</v>
      </c>
      <c r="F453" s="1">
        <f t="shared" si="25"/>
        <v>4.0413634477011619E-4</v>
      </c>
      <c r="G453" s="1">
        <f t="shared" si="26"/>
        <v>1.7073405101264416E-4</v>
      </c>
      <c r="H453">
        <f t="shared" ref="H453:H503" si="27">IF(E453&gt;($A$19),C453,G453)</f>
        <v>3.4324479999999998E-5</v>
      </c>
      <c r="I453">
        <f>IF(E453&lt;($A$17),F453,H453)</f>
        <v>3.4324479999999998E-5</v>
      </c>
    </row>
    <row r="454" spans="2:9" x14ac:dyDescent="0.25">
      <c r="B454">
        <v>2.7054100000000001</v>
      </c>
      <c r="C454" s="1">
        <v>1.6659780000000001E-5</v>
      </c>
      <c r="E454">
        <f t="shared" ref="E454:E503" si="28">SIN(B454/180*PI())</f>
        <v>4.7200767991471611E-2</v>
      </c>
      <c r="F454" s="1">
        <f t="shared" ref="F454:F503" si="29">C454*$A$5/$A$7*SIN(B454/180*PI())</f>
        <v>1.9658860264223972E-4</v>
      </c>
      <c r="G454" s="1">
        <f t="shared" ref="G454:G503" si="30">C454*(1/2+($A$5/(2*$A$7)-$A$9/$A$7)*SIN(B454/180*PI()))</f>
        <v>8.3033559004051113E-5</v>
      </c>
      <c r="H454">
        <f t="shared" si="27"/>
        <v>1.6659780000000001E-5</v>
      </c>
      <c r="I454">
        <f>IF(E454&lt;($A$17),F454,H454)</f>
        <v>1.6659780000000001E-5</v>
      </c>
    </row>
    <row r="455" spans="2:9" x14ac:dyDescent="0.25">
      <c r="B455">
        <v>2.7114199999999999</v>
      </c>
      <c r="C455" s="1">
        <v>2.7016360000000002E-5</v>
      </c>
      <c r="E455">
        <f t="shared" si="28"/>
        <v>4.7305545106851858E-2</v>
      </c>
      <c r="F455" s="1">
        <f t="shared" si="29"/>
        <v>3.195059091507371E-4</v>
      </c>
      <c r="G455" s="1">
        <f t="shared" si="30"/>
        <v>1.3492042547728008E-4</v>
      </c>
      <c r="H455">
        <f t="shared" si="27"/>
        <v>2.7016360000000002E-5</v>
      </c>
      <c r="I455">
        <f>IF(E455&lt;($A$17),F455,H455)</f>
        <v>2.7016360000000002E-5</v>
      </c>
    </row>
    <row r="456" spans="2:9" x14ac:dyDescent="0.25">
      <c r="B456">
        <v>2.7174299999999998</v>
      </c>
      <c r="C456" s="1">
        <v>2.6183460000000002E-5</v>
      </c>
      <c r="E456">
        <f t="shared" si="28"/>
        <v>4.741032170173811E-2</v>
      </c>
      <c r="F456" s="1">
        <f t="shared" si="29"/>
        <v>3.1034156546614792E-4</v>
      </c>
      <c r="G456" s="1">
        <f t="shared" si="30"/>
        <v>1.3102152487713621E-4</v>
      </c>
      <c r="H456">
        <f t="shared" si="27"/>
        <v>2.6183460000000002E-5</v>
      </c>
      <c r="I456">
        <f>IF(E456&lt;($A$17),F456,H456)</f>
        <v>2.6183460000000002E-5</v>
      </c>
    </row>
    <row r="457" spans="2:9" x14ac:dyDescent="0.25">
      <c r="B457">
        <v>2.7234500000000001</v>
      </c>
      <c r="C457" s="1">
        <v>1.659563E-5</v>
      </c>
      <c r="E457">
        <f t="shared" si="28"/>
        <v>4.7515272110770529E-2</v>
      </c>
      <c r="F457" s="1">
        <f t="shared" si="29"/>
        <v>1.9713646882491668E-4</v>
      </c>
      <c r="G457" s="1">
        <f t="shared" si="30"/>
        <v>8.3209673153468347E-5</v>
      </c>
      <c r="H457">
        <f t="shared" si="27"/>
        <v>1.659563E-5</v>
      </c>
      <c r="I457">
        <f>IF(E457&lt;($A$17),F457,H457)</f>
        <v>1.659563E-5</v>
      </c>
    </row>
    <row r="458" spans="2:9" x14ac:dyDescent="0.25">
      <c r="B458">
        <v>2.72946</v>
      </c>
      <c r="C458" s="1">
        <v>3.2855809999999999E-5</v>
      </c>
      <c r="E458">
        <f t="shared" si="28"/>
        <v>4.7620047660339421E-2</v>
      </c>
      <c r="F458" s="1">
        <f t="shared" si="29"/>
        <v>3.9114880952976415E-4</v>
      </c>
      <c r="G458" s="1">
        <f t="shared" si="30"/>
        <v>1.6506445262131039E-4</v>
      </c>
      <c r="H458">
        <f t="shared" si="27"/>
        <v>3.2855809999999999E-5</v>
      </c>
      <c r="I458">
        <f>IF(E458&lt;($A$17),F458,H458)</f>
        <v>3.2855809999999999E-5</v>
      </c>
    </row>
    <row r="459" spans="2:9" x14ac:dyDescent="0.25">
      <c r="B459">
        <v>2.7354699999999998</v>
      </c>
      <c r="C459" s="1">
        <v>1.410939E-5</v>
      </c>
      <c r="E459">
        <f t="shared" si="28"/>
        <v>4.7724822685953891E-2</v>
      </c>
      <c r="F459" s="1">
        <f t="shared" si="29"/>
        <v>1.6834203398924274E-4</v>
      </c>
      <c r="G459" s="1">
        <f t="shared" si="30"/>
        <v>7.1024667915912238E-5</v>
      </c>
      <c r="H459">
        <f t="shared" si="27"/>
        <v>1.410939E-5</v>
      </c>
      <c r="I459">
        <f>IF(E459&lt;($A$17),F459,H459)</f>
        <v>1.410939E-5</v>
      </c>
    </row>
    <row r="460" spans="2:9" x14ac:dyDescent="0.25">
      <c r="B460">
        <v>2.7414800000000001</v>
      </c>
      <c r="C460" s="1">
        <v>2.8973639999999999E-5</v>
      </c>
      <c r="E460">
        <f t="shared" si="28"/>
        <v>4.782959718646114E-2</v>
      </c>
      <c r="F460" s="1">
        <f t="shared" si="29"/>
        <v>3.4644938255638444E-4</v>
      </c>
      <c r="G460" s="1">
        <f t="shared" si="30"/>
        <v>1.461375853714261E-4</v>
      </c>
      <c r="H460">
        <f t="shared" si="27"/>
        <v>2.8973639999999999E-5</v>
      </c>
      <c r="I460">
        <f>IF(E460&lt;($A$17),F460,H460)</f>
        <v>2.8973639999999999E-5</v>
      </c>
    </row>
    <row r="461" spans="2:9" x14ac:dyDescent="0.25">
      <c r="B461">
        <v>2.74749</v>
      </c>
      <c r="C461" s="1">
        <v>2.1647870000000001E-5</v>
      </c>
      <c r="E461">
        <f t="shared" si="28"/>
        <v>4.7934371160708339E-2</v>
      </c>
      <c r="F461" s="1">
        <f t="shared" si="29"/>
        <v>2.5941925885469082E-4</v>
      </c>
      <c r="G461" s="1">
        <f t="shared" si="30"/>
        <v>1.0940325336478252E-4</v>
      </c>
      <c r="H461">
        <f t="shared" si="27"/>
        <v>2.1647870000000001E-5</v>
      </c>
      <c r="I461">
        <f>IF(E461&lt;($A$17),F461,H461)</f>
        <v>2.1647870000000001E-5</v>
      </c>
    </row>
    <row r="462" spans="2:9" x14ac:dyDescent="0.25">
      <c r="B462">
        <v>2.7535099999999999</v>
      </c>
      <c r="C462" s="1">
        <v>1.8614009999999999E-5</v>
      </c>
      <c r="E462">
        <f t="shared" si="28"/>
        <v>4.8039318938960809E-2</v>
      </c>
      <c r="F462" s="1">
        <f t="shared" si="29"/>
        <v>2.2355109078075143E-4</v>
      </c>
      <c r="G462" s="1">
        <f t="shared" si="30"/>
        <v>9.4256419496685544E-5</v>
      </c>
      <c r="H462">
        <f t="shared" si="27"/>
        <v>1.8614009999999999E-5</v>
      </c>
      <c r="I462">
        <f>IF(E462&lt;($A$17),F462,H462)</f>
        <v>1.8614009999999999E-5</v>
      </c>
    </row>
    <row r="463" spans="2:9" x14ac:dyDescent="0.25">
      <c r="B463">
        <v>2.7595200000000002</v>
      </c>
      <c r="C463" s="1">
        <v>3.025247E-5</v>
      </c>
      <c r="E463">
        <f t="shared" si="28"/>
        <v>4.8144091856349054E-2</v>
      </c>
      <c r="F463" s="1">
        <f t="shared" si="29"/>
        <v>3.6411942364036101E-4</v>
      </c>
      <c r="G463" s="1">
        <f t="shared" si="30"/>
        <v>1.5349161598333718E-4</v>
      </c>
      <c r="H463">
        <f t="shared" si="27"/>
        <v>3.025247E-5</v>
      </c>
      <c r="I463">
        <f>IF(E463&lt;($A$17),F463,H463)</f>
        <v>3.025247E-5</v>
      </c>
    </row>
    <row r="464" spans="2:9" x14ac:dyDescent="0.25">
      <c r="B464">
        <v>2.76553</v>
      </c>
      <c r="C464" s="1">
        <v>1.288619E-5</v>
      </c>
      <c r="E464">
        <f t="shared" si="28"/>
        <v>4.8248864244016913E-2</v>
      </c>
      <c r="F464" s="1">
        <f t="shared" si="29"/>
        <v>1.5543600798315207E-4</v>
      </c>
      <c r="G464" s="1">
        <f t="shared" si="30"/>
        <v>6.5508778033597791E-5</v>
      </c>
      <c r="H464">
        <f t="shared" si="27"/>
        <v>1.288619E-5</v>
      </c>
      <c r="I464">
        <f>IF(E464&lt;($A$17),F464,H464)</f>
        <v>1.288619E-5</v>
      </c>
    </row>
    <row r="465" spans="2:9" x14ac:dyDescent="0.25">
      <c r="B465">
        <v>2.7715399999999999</v>
      </c>
      <c r="C465" s="1">
        <v>3.0011530000000001E-5</v>
      </c>
      <c r="E465">
        <f t="shared" si="28"/>
        <v>4.8353636100811608E-2</v>
      </c>
      <c r="F465" s="1">
        <f t="shared" si="29"/>
        <v>3.627916501121476E-4</v>
      </c>
      <c r="G465" s="1">
        <f t="shared" si="30"/>
        <v>1.5286659204261611E-4</v>
      </c>
      <c r="H465">
        <f t="shared" si="27"/>
        <v>3.0011530000000001E-5</v>
      </c>
      <c r="I465">
        <f>IF(E465&lt;($A$17),F465,H465)</f>
        <v>3.0011530000000001E-5</v>
      </c>
    </row>
    <row r="466" spans="2:9" x14ac:dyDescent="0.25">
      <c r="B466">
        <v>2.7775500000000002</v>
      </c>
      <c r="C466" s="1">
        <v>1.7554299999999999E-5</v>
      </c>
      <c r="E466">
        <f t="shared" si="28"/>
        <v>4.8458407425580358E-2</v>
      </c>
      <c r="F466" s="1">
        <f t="shared" si="29"/>
        <v>2.126633553677163E-4</v>
      </c>
      <c r="G466" s="1">
        <f t="shared" si="30"/>
        <v>8.9589225039732196E-5</v>
      </c>
      <c r="H466">
        <f t="shared" si="27"/>
        <v>1.7554299999999999E-5</v>
      </c>
      <c r="I466">
        <f>IF(E466&lt;($A$17),F466,H466)</f>
        <v>1.7554299999999999E-5</v>
      </c>
    </row>
    <row r="467" spans="2:9" x14ac:dyDescent="0.25">
      <c r="B467">
        <v>2.7835700000000001</v>
      </c>
      <c r="C467" s="1">
        <v>2.098447E-5</v>
      </c>
      <c r="E467">
        <f t="shared" si="28"/>
        <v>4.8563352544165668E-2</v>
      </c>
      <c r="F467" s="1">
        <f t="shared" si="29"/>
        <v>2.5476905364061703E-4</v>
      </c>
      <c r="G467" s="1">
        <f t="shared" si="30"/>
        <v>1.0730447538343447E-4</v>
      </c>
      <c r="H467">
        <f t="shared" si="27"/>
        <v>2.098447E-5</v>
      </c>
      <c r="I467">
        <f>IF(E467&lt;($A$17),F467,H467)</f>
        <v>2.098447E-5</v>
      </c>
    </row>
    <row r="468" spans="2:9" x14ac:dyDescent="0.25">
      <c r="B468">
        <v>2.7895799999999999</v>
      </c>
      <c r="C468" s="1">
        <v>2.6814979999999999E-5</v>
      </c>
      <c r="E468">
        <f t="shared" si="28"/>
        <v>4.8668122800534147E-2</v>
      </c>
      <c r="F468" s="1">
        <f t="shared" si="29"/>
        <v>3.2625868488346679E-4</v>
      </c>
      <c r="G468" s="1">
        <f t="shared" si="30"/>
        <v>1.3738579025571738E-4</v>
      </c>
      <c r="H468">
        <f t="shared" si="27"/>
        <v>2.6814979999999999E-5</v>
      </c>
      <c r="I468">
        <f>IF(E468&lt;($A$17),F468,H468)</f>
        <v>2.6814979999999999E-5</v>
      </c>
    </row>
    <row r="469" spans="2:9" x14ac:dyDescent="0.25">
      <c r="B469">
        <v>2.7955899999999998</v>
      </c>
      <c r="C469" s="1">
        <v>1.2911659999999999E-5</v>
      </c>
      <c r="E469">
        <f t="shared" si="28"/>
        <v>4.8772892521416436E-2</v>
      </c>
      <c r="F469" s="1">
        <f t="shared" si="29"/>
        <v>1.5743475136326791E-4</v>
      </c>
      <c r="G469" s="1">
        <f t="shared" si="30"/>
        <v>6.6281035518041807E-5</v>
      </c>
      <c r="H469">
        <f t="shared" si="27"/>
        <v>1.2911659999999999E-5</v>
      </c>
      <c r="I469">
        <f>IF(E469&lt;($A$17),F469,H469)</f>
        <v>1.2911659999999999E-5</v>
      </c>
    </row>
    <row r="470" spans="2:9" x14ac:dyDescent="0.25">
      <c r="B470">
        <v>2.8016000000000001</v>
      </c>
      <c r="C470" s="1">
        <v>2.995461E-5</v>
      </c>
      <c r="E470">
        <f t="shared" si="28"/>
        <v>4.887766170565979E-2</v>
      </c>
      <c r="F470" s="1">
        <f t="shared" si="29"/>
        <v>3.6602782352624345E-4</v>
      </c>
      <c r="G470" s="1">
        <f t="shared" si="30"/>
        <v>1.5406787793997251E-4</v>
      </c>
      <c r="H470">
        <f t="shared" si="27"/>
        <v>2.995461E-5</v>
      </c>
      <c r="I470">
        <f>IF(E470&lt;($A$17),F470,H470)</f>
        <v>2.995461E-5</v>
      </c>
    </row>
    <row r="471" spans="2:9" x14ac:dyDescent="0.25">
      <c r="B471">
        <v>2.80762</v>
      </c>
      <c r="C471" s="1">
        <v>1.426248E-5</v>
      </c>
      <c r="E471">
        <f t="shared" si="28"/>
        <v>4.8982604675533586E-2</v>
      </c>
      <c r="F471" s="1">
        <f t="shared" si="29"/>
        <v>1.7465335488317605E-4</v>
      </c>
      <c r="G471" s="1">
        <f t="shared" si="30"/>
        <v>7.3499514855606914E-5</v>
      </c>
      <c r="H471">
        <f t="shared" si="27"/>
        <v>1.426248E-5</v>
      </c>
      <c r="I471">
        <f>IF(E471&lt;($A$17),F471,H471)</f>
        <v>1.426248E-5</v>
      </c>
    </row>
    <row r="472" spans="2:9" x14ac:dyDescent="0.25">
      <c r="B472">
        <v>2.8136299999999999</v>
      </c>
      <c r="C472" s="1">
        <v>2.3261560000000002E-5</v>
      </c>
      <c r="E472">
        <f t="shared" si="28"/>
        <v>4.9087372782143063E-2</v>
      </c>
      <c r="F472" s="1">
        <f t="shared" si="29"/>
        <v>2.8546221680354696E-4</v>
      </c>
      <c r="G472" s="1">
        <f t="shared" si="30"/>
        <v>1.2010642238534785E-4</v>
      </c>
      <c r="H472">
        <f t="shared" si="27"/>
        <v>2.3261560000000002E-5</v>
      </c>
      <c r="I472">
        <f>IF(E472&lt;($A$17),F472,H472)</f>
        <v>2.3261560000000002E-5</v>
      </c>
    </row>
    <row r="473" spans="2:9" x14ac:dyDescent="0.25">
      <c r="B473">
        <v>2.8196400000000001</v>
      </c>
      <c r="C473" s="1">
        <v>2.2928649999999999E-5</v>
      </c>
      <c r="E473">
        <f t="shared" si="28"/>
        <v>4.9192140348653421E-2</v>
      </c>
      <c r="F473" s="1">
        <f t="shared" si="29"/>
        <v>2.8197734220128802E-4</v>
      </c>
      <c r="G473" s="1">
        <f t="shared" si="30"/>
        <v>1.1861571503648945E-4</v>
      </c>
      <c r="H473">
        <f t="shared" si="27"/>
        <v>2.2928649999999999E-5</v>
      </c>
      <c r="I473">
        <f>IF(E473&lt;($A$17),F473,H473)</f>
        <v>2.2928649999999999E-5</v>
      </c>
    </row>
    <row r="474" spans="2:9" x14ac:dyDescent="0.25">
      <c r="B474">
        <v>2.82565</v>
      </c>
      <c r="C474" s="1">
        <v>1.3963499999999999E-5</v>
      </c>
      <c r="E474">
        <f t="shared" si="28"/>
        <v>4.9296907373911916E-2</v>
      </c>
      <c r="F474" s="1">
        <f t="shared" si="29"/>
        <v>1.7208934152890474E-4</v>
      </c>
      <c r="G474" s="1">
        <f t="shared" si="30"/>
        <v>7.2375699780983808E-5</v>
      </c>
      <c r="H474">
        <f t="shared" si="27"/>
        <v>1.3963499999999999E-5</v>
      </c>
      <c r="I474">
        <f>IF(E474&lt;($A$17),F474,H474)</f>
        <v>1.3963499999999999E-5</v>
      </c>
    </row>
    <row r="475" spans="2:9" x14ac:dyDescent="0.25">
      <c r="B475">
        <v>2.8316599999999998</v>
      </c>
      <c r="C475" s="1">
        <v>2.8788220000000001E-5</v>
      </c>
      <c r="E475">
        <f t="shared" si="28"/>
        <v>4.9401673856765832E-2</v>
      </c>
      <c r="F475" s="1">
        <f t="shared" si="29"/>
        <v>3.5554656383920583E-4</v>
      </c>
      <c r="G475" s="1">
        <f t="shared" si="30"/>
        <v>1.4950180425889821E-4</v>
      </c>
      <c r="H475">
        <f t="shared" si="27"/>
        <v>2.8788220000000001E-5</v>
      </c>
      <c r="I475">
        <f>IF(E475&lt;($A$17),F475,H475)</f>
        <v>2.8788220000000001E-5</v>
      </c>
    </row>
    <row r="476" spans="2:9" x14ac:dyDescent="0.25">
      <c r="B476">
        <v>2.8376800000000002</v>
      </c>
      <c r="C476" s="1">
        <v>1.200636E-5</v>
      </c>
      <c r="E476">
        <f t="shared" si="28"/>
        <v>4.9506614114975395E-2</v>
      </c>
      <c r="F476" s="1">
        <f t="shared" si="29"/>
        <v>1.4859855786136897E-4</v>
      </c>
      <c r="G476" s="1">
        <f t="shared" si="30"/>
        <v>6.2470631987320214E-5</v>
      </c>
      <c r="H476">
        <f t="shared" si="27"/>
        <v>1.200636E-5</v>
      </c>
      <c r="I476">
        <f>IF(E476&lt;($A$17),F476,H476)</f>
        <v>1.200636E-5</v>
      </c>
    </row>
    <row r="477" spans="2:9" x14ac:dyDescent="0.25">
      <c r="B477">
        <v>2.8436900000000001</v>
      </c>
      <c r="C477" s="1">
        <v>2.5059399999999999E-5</v>
      </c>
      <c r="E477">
        <f t="shared" si="28"/>
        <v>4.9611379508654657E-2</v>
      </c>
      <c r="F477" s="1">
        <f t="shared" si="29"/>
        <v>3.1080785091479514E-4</v>
      </c>
      <c r="G477" s="1">
        <f t="shared" si="30"/>
        <v>1.3063668334762214E-4</v>
      </c>
      <c r="H477">
        <f t="shared" si="27"/>
        <v>2.5059399999999999E-5</v>
      </c>
      <c r="I477">
        <f>IF(E477&lt;($A$17),F477,H477)</f>
        <v>2.5059399999999999E-5</v>
      </c>
    </row>
    <row r="478" spans="2:9" x14ac:dyDescent="0.25">
      <c r="B478">
        <v>2.8496999999999999</v>
      </c>
      <c r="C478" s="1">
        <v>1.900372E-5</v>
      </c>
      <c r="E478">
        <f t="shared" si="28"/>
        <v>4.9716144356469261E-2</v>
      </c>
      <c r="F478" s="1">
        <f t="shared" si="29"/>
        <v>2.361979217074805E-4</v>
      </c>
      <c r="G478" s="1">
        <f t="shared" si="30"/>
        <v>9.9257070248842593E-5</v>
      </c>
      <c r="H478">
        <f t="shared" si="27"/>
        <v>1.900372E-5</v>
      </c>
      <c r="I478">
        <f>IF(E478&lt;($A$17),F478,H478)</f>
        <v>1.900372E-5</v>
      </c>
    </row>
    <row r="479" spans="2:9" x14ac:dyDescent="0.25">
      <c r="B479">
        <v>2.8557100000000002</v>
      </c>
      <c r="C479" s="1">
        <v>1.5722120000000001E-5</v>
      </c>
      <c r="E479">
        <f t="shared" si="28"/>
        <v>4.9820908657266495E-2</v>
      </c>
      <c r="F479" s="1">
        <f t="shared" si="29"/>
        <v>1.9582257610464566E-4</v>
      </c>
      <c r="G479" s="1">
        <f t="shared" si="30"/>
        <v>8.2273638919765364E-5</v>
      </c>
      <c r="H479">
        <f t="shared" si="27"/>
        <v>1.5722120000000001E-5</v>
      </c>
      <c r="I479">
        <f>IF(E479&lt;($A$17),F479,H479)</f>
        <v>1.5722120000000001E-5</v>
      </c>
    </row>
    <row r="480" spans="2:9" x14ac:dyDescent="0.25">
      <c r="B480">
        <v>2.86172</v>
      </c>
      <c r="C480" s="1">
        <v>2.6640320000000001E-5</v>
      </c>
      <c r="E480">
        <f t="shared" si="28"/>
        <v>4.9925672409893644E-2</v>
      </c>
      <c r="F480" s="1">
        <f t="shared" si="29"/>
        <v>3.3250897230368447E-4</v>
      </c>
      <c r="G480" s="1">
        <f t="shared" si="30"/>
        <v>1.3967356947540012E-4</v>
      </c>
      <c r="H480">
        <f t="shared" si="27"/>
        <v>2.6640320000000001E-5</v>
      </c>
      <c r="I480">
        <f>IF(E480&lt;($A$17),F480,H480)</f>
        <v>2.6640320000000001E-5</v>
      </c>
    </row>
    <row r="481" spans="2:9" x14ac:dyDescent="0.25">
      <c r="B481">
        <v>2.86774</v>
      </c>
      <c r="C481" s="1">
        <v>1.08718E-5</v>
      </c>
      <c r="E481">
        <f t="shared" si="28"/>
        <v>5.0030609927553774E-2</v>
      </c>
      <c r="F481" s="1">
        <f t="shared" si="29"/>
        <v>1.3598069625259479E-4</v>
      </c>
      <c r="G481" s="1">
        <f t="shared" si="30"/>
        <v>5.7108564575986015E-5</v>
      </c>
      <c r="H481">
        <f t="shared" si="27"/>
        <v>1.08718E-5</v>
      </c>
      <c r="I481">
        <f>IF(E481&lt;($A$17),F481,H481)</f>
        <v>1.08718E-5</v>
      </c>
    </row>
    <row r="482" spans="2:9" x14ac:dyDescent="0.25">
      <c r="B482">
        <v>2.8737499999999998</v>
      </c>
      <c r="C482" s="1">
        <v>2.6095229999999999E-5</v>
      </c>
      <c r="E482">
        <f t="shared" si="28"/>
        <v>5.0135372579465806E-2</v>
      </c>
      <c r="F482" s="1">
        <f t="shared" si="29"/>
        <v>3.2707351964921335E-4</v>
      </c>
      <c r="G482" s="1">
        <f t="shared" si="30"/>
        <v>1.3733555246670109E-4</v>
      </c>
      <c r="H482">
        <f t="shared" si="27"/>
        <v>2.6095229999999999E-5</v>
      </c>
      <c r="I482">
        <f>IF(E482&lt;($A$17),F482,H482)</f>
        <v>2.6095229999999999E-5</v>
      </c>
    </row>
    <row r="483" spans="2:9" x14ac:dyDescent="0.25">
      <c r="B483">
        <v>2.8797600000000001</v>
      </c>
      <c r="C483" s="1">
        <v>1.5415799999999999E-5</v>
      </c>
      <c r="E483">
        <f t="shared" si="28"/>
        <v>5.0240134679747792E-2</v>
      </c>
      <c r="F483" s="1">
        <f t="shared" si="29"/>
        <v>1.9362296704901398E-4</v>
      </c>
      <c r="G483" s="1">
        <f t="shared" si="30"/>
        <v>8.1284627478625323E-5</v>
      </c>
      <c r="H483">
        <f t="shared" si="27"/>
        <v>1.5415799999999999E-5</v>
      </c>
      <c r="I483">
        <f>IF(E483&lt;($A$17),F483,H483)</f>
        <v>1.5415799999999999E-5</v>
      </c>
    </row>
    <row r="484" spans="2:9" x14ac:dyDescent="0.25">
      <c r="B484">
        <v>2.8857699999999999</v>
      </c>
      <c r="C484" s="1">
        <v>1.781386E-5</v>
      </c>
      <c r="E484">
        <f t="shared" si="28"/>
        <v>5.0344896227247027E-2</v>
      </c>
      <c r="F484" s="1">
        <f t="shared" si="29"/>
        <v>2.2420923327667668E-4</v>
      </c>
      <c r="G484" s="1">
        <f t="shared" si="30"/>
        <v>9.4106438645137137E-5</v>
      </c>
      <c r="H484">
        <f t="shared" si="27"/>
        <v>1.781386E-5</v>
      </c>
      <c r="I484">
        <f>IF(E484&lt;($A$17),F484,H484)</f>
        <v>1.781386E-5</v>
      </c>
    </row>
    <row r="485" spans="2:9" x14ac:dyDescent="0.25">
      <c r="B485">
        <v>2.8917799999999998</v>
      </c>
      <c r="C485" s="1">
        <v>2.3753019999999999E-5</v>
      </c>
      <c r="E485">
        <f t="shared" si="28"/>
        <v>5.0449657220810837E-2</v>
      </c>
      <c r="F485" s="1">
        <f t="shared" si="29"/>
        <v>2.9958292923976603E-4</v>
      </c>
      <c r="G485" s="1">
        <f t="shared" si="30"/>
        <v>1.2571802311111109E-4</v>
      </c>
      <c r="H485">
        <f t="shared" si="27"/>
        <v>2.3753019999999999E-5</v>
      </c>
      <c r="I485">
        <f>IF(E485&lt;($A$17),F485,H485)</f>
        <v>2.3753019999999999E-5</v>
      </c>
    </row>
    <row r="486" spans="2:9" x14ac:dyDescent="0.25">
      <c r="B486">
        <v>2.8978000000000002</v>
      </c>
      <c r="C486" s="1">
        <v>1.080748E-5</v>
      </c>
      <c r="E486">
        <f t="shared" si="28"/>
        <v>5.0554591969037138E-2</v>
      </c>
      <c r="F486" s="1">
        <f t="shared" si="29"/>
        <v>1.3659193540338234E-4</v>
      </c>
      <c r="G486" s="1">
        <f t="shared" si="30"/>
        <v>5.7308675453285298E-5</v>
      </c>
      <c r="H486">
        <f t="shared" si="27"/>
        <v>1.080748E-5</v>
      </c>
      <c r="I486">
        <f>IF(E486&lt;($A$17),F486,H486)</f>
        <v>1.080748E-5</v>
      </c>
    </row>
    <row r="487" spans="2:9" x14ac:dyDescent="0.25">
      <c r="B487">
        <v>2.90381</v>
      </c>
      <c r="C487" s="1">
        <v>2.621076E-5</v>
      </c>
      <c r="E487">
        <f t="shared" si="28"/>
        <v>5.0659351850345667E-2</v>
      </c>
      <c r="F487" s="1">
        <f t="shared" si="29"/>
        <v>3.3195502827624153E-4</v>
      </c>
      <c r="G487" s="1">
        <f t="shared" si="30"/>
        <v>1.3924829074497179E-4</v>
      </c>
      <c r="H487">
        <f t="shared" si="27"/>
        <v>2.621076E-5</v>
      </c>
      <c r="I487">
        <f>IF(E487&lt;($A$17),F487,H487)</f>
        <v>2.621076E-5</v>
      </c>
    </row>
    <row r="488" spans="2:9" x14ac:dyDescent="0.25">
      <c r="B488">
        <v>2.9098199999999999</v>
      </c>
      <c r="C488" s="1">
        <v>1.247696E-5</v>
      </c>
      <c r="E488">
        <f t="shared" si="28"/>
        <v>5.0764111174258886E-2</v>
      </c>
      <c r="F488" s="1">
        <f t="shared" si="29"/>
        <v>1.5834544613919528E-4</v>
      </c>
      <c r="G488" s="1">
        <f t="shared" si="30"/>
        <v>6.64097495328942E-5</v>
      </c>
      <c r="H488">
        <f t="shared" si="27"/>
        <v>1.247696E-5</v>
      </c>
      <c r="I488">
        <f>IF(E488&lt;($A$17),F488,H488)</f>
        <v>1.247696E-5</v>
      </c>
    </row>
    <row r="489" spans="2:9" x14ac:dyDescent="0.25">
      <c r="B489">
        <v>2.9158300000000001</v>
      </c>
      <c r="C489" s="1">
        <v>1.986873E-5</v>
      </c>
      <c r="E489">
        <f t="shared" si="28"/>
        <v>5.0868869939624153E-2</v>
      </c>
      <c r="F489" s="1">
        <f t="shared" si="29"/>
        <v>2.5267496055887716E-4</v>
      </c>
      <c r="G489" s="1">
        <f t="shared" si="30"/>
        <v>1.0595085001237331E-4</v>
      </c>
      <c r="H489">
        <f t="shared" si="27"/>
        <v>1.986873E-5</v>
      </c>
      <c r="I489">
        <f>IF(E489&lt;($A$17),F489,H489)</f>
        <v>1.986873E-5</v>
      </c>
    </row>
    <row r="490" spans="2:9" x14ac:dyDescent="0.25">
      <c r="B490">
        <v>2.92184</v>
      </c>
      <c r="C490" s="1">
        <v>2.0435690000000001E-5</v>
      </c>
      <c r="E490">
        <f t="shared" si="28"/>
        <v>5.0973628145288823E-2</v>
      </c>
      <c r="F490" s="1">
        <f t="shared" si="29"/>
        <v>2.6042031573809938E-4</v>
      </c>
      <c r="G490" s="1">
        <f t="shared" si="30"/>
        <v>1.0917756498047775E-4</v>
      </c>
      <c r="H490">
        <f t="shared" si="27"/>
        <v>2.0435690000000001E-5</v>
      </c>
      <c r="I490">
        <f>IF(E490&lt;($A$17),F490,H490)</f>
        <v>2.0435690000000001E-5</v>
      </c>
    </row>
    <row r="491" spans="2:9" x14ac:dyDescent="0.25">
      <c r="B491">
        <v>2.9278599999999999</v>
      </c>
      <c r="C491" s="1">
        <v>1.164392E-5</v>
      </c>
      <c r="E491">
        <f t="shared" si="28"/>
        <v>5.107856009519765E-2</v>
      </c>
      <c r="F491" s="1">
        <f t="shared" si="29"/>
        <v>1.4868866686591843E-4</v>
      </c>
      <c r="G491" s="1">
        <f t="shared" si="30"/>
        <v>6.2323653409049014E-5</v>
      </c>
      <c r="H491">
        <f t="shared" si="27"/>
        <v>1.164392E-5</v>
      </c>
      <c r="I491">
        <f>IF(E491&lt;($A$17),F491,H491)</f>
        <v>1.164392E-5</v>
      </c>
    </row>
    <row r="492" spans="2:9" x14ac:dyDescent="0.25">
      <c r="B492">
        <v>2.9338700000000002</v>
      </c>
      <c r="C492" s="1">
        <v>2.5375119999999998E-5</v>
      </c>
      <c r="E492">
        <f t="shared" si="28"/>
        <v>5.1183317177067159E-2</v>
      </c>
      <c r="F492" s="1">
        <f t="shared" si="29"/>
        <v>3.2469570384153508E-4</v>
      </c>
      <c r="G492" s="1">
        <f t="shared" si="30"/>
        <v>1.3607192745978332E-4</v>
      </c>
      <c r="H492">
        <f t="shared" si="27"/>
        <v>2.5375119999999998E-5</v>
      </c>
      <c r="I492">
        <f>IF(E492&lt;($A$17),F492,H492)</f>
        <v>2.5375119999999998E-5</v>
      </c>
    </row>
    <row r="493" spans="2:9" x14ac:dyDescent="0.25">
      <c r="B493">
        <v>2.93988</v>
      </c>
      <c r="C493" s="1">
        <v>1.039273E-5</v>
      </c>
      <c r="E493">
        <f t="shared" si="28"/>
        <v>5.1288073695776253E-2</v>
      </c>
      <c r="F493" s="1">
        <f t="shared" si="29"/>
        <v>1.3325577553507616E-4</v>
      </c>
      <c r="G493" s="1">
        <f t="shared" si="30"/>
        <v>5.5833559703328951E-5</v>
      </c>
      <c r="H493">
        <f t="shared" si="27"/>
        <v>1.039273E-5</v>
      </c>
      <c r="I493">
        <f>IF(E493&lt;($A$17),F493,H493)</f>
        <v>1.039273E-5</v>
      </c>
    </row>
    <row r="494" spans="2:9" x14ac:dyDescent="0.25">
      <c r="B494">
        <v>2.9458899999999999</v>
      </c>
      <c r="C494" s="1">
        <v>2.1561049999999999E-5</v>
      </c>
      <c r="E494">
        <f t="shared" si="28"/>
        <v>5.1392829650172341E-2</v>
      </c>
      <c r="F494" s="1">
        <f t="shared" si="29"/>
        <v>2.7702084243221204E-4</v>
      </c>
      <c r="G494" s="1">
        <f t="shared" si="30"/>
        <v>1.1604844512424059E-4</v>
      </c>
      <c r="H494">
        <f t="shared" si="27"/>
        <v>2.1561049999999999E-5</v>
      </c>
      <c r="I494">
        <f>IF(E494&lt;($A$17),F494,H494)</f>
        <v>2.1561049999999999E-5</v>
      </c>
    </row>
    <row r="495" spans="2:9" x14ac:dyDescent="0.25">
      <c r="B495">
        <v>2.9519000000000002</v>
      </c>
      <c r="C495" s="1">
        <v>1.7027770000000001E-5</v>
      </c>
      <c r="E495">
        <f t="shared" si="28"/>
        <v>5.149758503910281E-2</v>
      </c>
      <c r="F495" s="1">
        <f t="shared" si="29"/>
        <v>2.1922225840032093E-4</v>
      </c>
      <c r="G495" s="1">
        <f t="shared" si="30"/>
        <v>9.1818343192121945E-5</v>
      </c>
      <c r="H495">
        <f t="shared" si="27"/>
        <v>1.7027770000000001E-5</v>
      </c>
      <c r="I495">
        <f>IF(E495&lt;($A$17),F495,H495)</f>
        <v>1.7027770000000001E-5</v>
      </c>
    </row>
    <row r="496" spans="2:9" x14ac:dyDescent="0.25">
      <c r="B496">
        <v>2.9579200000000001</v>
      </c>
      <c r="C496" s="1">
        <v>1.312523E-5</v>
      </c>
      <c r="E496">
        <f t="shared" si="28"/>
        <v>5.1602514161811289E-2</v>
      </c>
      <c r="F496" s="1">
        <f t="shared" si="29"/>
        <v>1.6932371673800757E-4</v>
      </c>
      <c r="G496" s="1">
        <f t="shared" si="30"/>
        <v>7.0905627360442878E-5</v>
      </c>
      <c r="H496">
        <f t="shared" si="27"/>
        <v>1.312523E-5</v>
      </c>
      <c r="I496">
        <f>IF(E496&lt;($A$17),F496,H496)</f>
        <v>1.312523E-5</v>
      </c>
    </row>
    <row r="497" spans="2:9" x14ac:dyDescent="0.25">
      <c r="B497">
        <v>2.96393</v>
      </c>
      <c r="C497" s="1">
        <v>2.3678619999999999E-5</v>
      </c>
      <c r="E497">
        <f t="shared" si="28"/>
        <v>5.1707268415407022E-2</v>
      </c>
      <c r="F497" s="1">
        <f t="shared" si="29"/>
        <v>3.0608919001160617E-4</v>
      </c>
      <c r="G497" s="1">
        <f t="shared" si="30"/>
        <v>1.2815320220441035E-4</v>
      </c>
      <c r="H497">
        <f t="shared" si="27"/>
        <v>2.3678619999999999E-5</v>
      </c>
      <c r="I497">
        <f>IF(E497&lt;($A$17),F497,H497)</f>
        <v>2.3678619999999999E-5</v>
      </c>
    </row>
    <row r="498" spans="2:9" x14ac:dyDescent="0.25">
      <c r="B498">
        <v>2.9699399999999998</v>
      </c>
      <c r="C498" s="1">
        <v>9.2536069999999998E-6</v>
      </c>
      <c r="E498">
        <f t="shared" si="28"/>
        <v>5.1812022100077425E-2</v>
      </c>
      <c r="F498" s="1">
        <f t="shared" si="29"/>
        <v>1.1986202259735777E-4</v>
      </c>
      <c r="G498" s="1">
        <f t="shared" si="30"/>
        <v>5.0174372086995957E-5</v>
      </c>
      <c r="H498">
        <f t="shared" si="27"/>
        <v>9.2536069999999998E-6</v>
      </c>
      <c r="I498">
        <f>IF(E498&lt;($A$17),F498,H498)</f>
        <v>9.2536069999999998E-6</v>
      </c>
    </row>
    <row r="499" spans="2:9" x14ac:dyDescent="0.25">
      <c r="B499">
        <v>2.9759500000000001</v>
      </c>
      <c r="C499" s="1">
        <v>2.2640659999999999E-5</v>
      </c>
      <c r="E499">
        <f t="shared" si="28"/>
        <v>5.1916775214669912E-2</v>
      </c>
      <c r="F499" s="1">
        <f t="shared" si="29"/>
        <v>2.9385751398294205E-4</v>
      </c>
      <c r="G499" s="1">
        <f t="shared" si="30"/>
        <v>1.2298618531351801E-4</v>
      </c>
      <c r="H499">
        <f t="shared" si="27"/>
        <v>2.2640659999999999E-5</v>
      </c>
      <c r="I499">
        <f>IF(E499&lt;($A$17),F499,H499)</f>
        <v>2.2640659999999999E-5</v>
      </c>
    </row>
    <row r="500" spans="2:9" x14ac:dyDescent="0.25">
      <c r="B500">
        <v>2.9819599999999999</v>
      </c>
      <c r="C500" s="1">
        <v>1.384947E-5</v>
      </c>
      <c r="E500">
        <f t="shared" si="28"/>
        <v>5.2021527758031878E-2</v>
      </c>
      <c r="F500" s="1">
        <f t="shared" si="29"/>
        <v>1.8011764700975741E-4</v>
      </c>
      <c r="G500" s="1">
        <f t="shared" si="30"/>
        <v>7.5369440863707834E-5</v>
      </c>
      <c r="H500">
        <f t="shared" si="27"/>
        <v>1.384947E-5</v>
      </c>
      <c r="I500">
        <f>IF(E500&lt;($A$17),F500,H500)</f>
        <v>1.384947E-5</v>
      </c>
    </row>
    <row r="501" spans="2:9" x14ac:dyDescent="0.25">
      <c r="B501">
        <v>2.9879799999999999</v>
      </c>
      <c r="C501" s="1">
        <v>1.4949850000000001E-5</v>
      </c>
      <c r="E501">
        <f t="shared" si="28"/>
        <v>5.2126454024657931E-2</v>
      </c>
      <c r="F501" s="1">
        <f t="shared" si="29"/>
        <v>1.948206671751331E-4</v>
      </c>
      <c r="G501" s="1">
        <f t="shared" si="30"/>
        <v>8.1506778526550575E-5</v>
      </c>
      <c r="H501">
        <f t="shared" si="27"/>
        <v>1.4949850000000001E-5</v>
      </c>
      <c r="I501">
        <f>IF(E501&lt;($A$17),F501,H501)</f>
        <v>1.4949850000000001E-5</v>
      </c>
    </row>
    <row r="502" spans="2:9" x14ac:dyDescent="0.25">
      <c r="B502">
        <v>2.9939900000000002</v>
      </c>
      <c r="C502" s="1">
        <v>2.1304159999999999E-5</v>
      </c>
      <c r="E502">
        <f t="shared" si="28"/>
        <v>5.223120542114594E-2</v>
      </c>
      <c r="F502" s="1">
        <f t="shared" si="29"/>
        <v>2.7818548932124012E-4</v>
      </c>
      <c r="G502" s="1">
        <f t="shared" si="30"/>
        <v>1.1636256594207124E-4</v>
      </c>
      <c r="H502">
        <f t="shared" si="27"/>
        <v>2.1304159999999999E-5</v>
      </c>
      <c r="I502">
        <f>IF(E502&lt;($A$17),F502,H502)</f>
        <v>2.1304159999999999E-5</v>
      </c>
    </row>
    <row r="503" spans="2:9" x14ac:dyDescent="0.25">
      <c r="B503">
        <v>3</v>
      </c>
      <c r="C503" s="1">
        <v>9.0399329999999999E-6</v>
      </c>
      <c r="E503">
        <f t="shared" si="28"/>
        <v>5.2335956242943828E-2</v>
      </c>
      <c r="F503" s="1">
        <f t="shared" si="29"/>
        <v>1.1827838448178596E-4</v>
      </c>
      <c r="G503" s="1">
        <f t="shared" si="30"/>
        <v>4.9465752603078675E-5</v>
      </c>
      <c r="H503">
        <f t="shared" si="27"/>
        <v>9.0399329999999999E-6</v>
      </c>
      <c r="I503">
        <f>IF(E503&lt;($A$17),F503,H503)</f>
        <v>9.0399329999999999E-6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Tool</vt:lpstr>
      <vt:lpstr>Tool!xray2834709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</dc:creator>
  <cp:lastModifiedBy>Jerson Jair Peralta</cp:lastModifiedBy>
  <dcterms:created xsi:type="dcterms:W3CDTF">2016-11-16T14:28:11Z</dcterms:created>
  <dcterms:modified xsi:type="dcterms:W3CDTF">2026-03-24T23:06:54Z</dcterms:modified>
</cp:coreProperties>
</file>